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ro\Desktop\finance\"/>
    </mc:Choice>
  </mc:AlternateContent>
  <xr:revisionPtr revIDLastSave="0" documentId="13_ncr:2001_{996FD4DB-27FF-4BC1-948C-DF43CC7F3D9F}" xr6:coauthVersionLast="47" xr6:coauthVersionMax="47" xr10:uidLastSave="{00000000-0000-0000-0000-000000000000}"/>
  <bookViews>
    <workbookView xWindow="-108" yWindow="-108" windowWidth="23256" windowHeight="12456" xr2:uid="{557D5D03-6CD2-46AE-835E-55A9E3555F8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12" i="1" l="1"/>
  <c r="X411" i="1"/>
  <c r="V411" i="1"/>
  <c r="Z411" i="1" s="1"/>
  <c r="Z410" i="1"/>
  <c r="Z409" i="1"/>
  <c r="Z408" i="1"/>
  <c r="X407" i="1"/>
  <c r="V407" i="1"/>
  <c r="V412" i="1" s="1"/>
  <c r="Z412" i="1" s="1"/>
  <c r="Z406" i="1"/>
  <c r="Z405" i="1"/>
  <c r="Z404" i="1"/>
  <c r="Z403" i="1"/>
  <c r="Z407" i="1" s="1"/>
  <c r="X402" i="1"/>
  <c r="V402" i="1"/>
  <c r="X401" i="1"/>
  <c r="V401" i="1"/>
  <c r="Z400" i="1"/>
  <c r="Z399" i="1"/>
  <c r="Z401" i="1" s="1"/>
  <c r="Z398" i="1"/>
  <c r="X397" i="1"/>
  <c r="V397" i="1"/>
  <c r="Z395" i="1"/>
  <c r="Z393" i="1"/>
  <c r="Z397" i="1" s="1"/>
  <c r="Z402" i="1" s="1"/>
  <c r="M401" i="1"/>
  <c r="Q400" i="1"/>
  <c r="Q399" i="1"/>
  <c r="Q398" i="1"/>
  <c r="Q397" i="1"/>
  <c r="O396" i="1"/>
  <c r="O401" i="1" s="1"/>
  <c r="M396" i="1"/>
  <c r="Q395" i="1"/>
  <c r="Q394" i="1"/>
  <c r="Q396" i="1" s="1"/>
  <c r="Q401" i="1" s="1"/>
  <c r="H402" i="1"/>
  <c r="H401" i="1"/>
  <c r="F399" i="1"/>
  <c r="F400" i="1" s="1"/>
  <c r="F403" i="1" s="1"/>
  <c r="D399" i="1"/>
  <c r="D400" i="1" s="1"/>
  <c r="H398" i="1"/>
  <c r="H397" i="1"/>
  <c r="H396" i="1"/>
  <c r="H395" i="1"/>
  <c r="H394" i="1"/>
  <c r="H393" i="1"/>
  <c r="Z383" i="1"/>
  <c r="X383" i="1"/>
  <c r="V383" i="1"/>
  <c r="Z382" i="1"/>
  <c r="Z381" i="1"/>
  <c r="Z380" i="1"/>
  <c r="X379" i="1"/>
  <c r="X384" i="1" s="1"/>
  <c r="V379" i="1"/>
  <c r="V384" i="1" s="1"/>
  <c r="Z378" i="1"/>
  <c r="Z377" i="1"/>
  <c r="Z376" i="1"/>
  <c r="Z375" i="1"/>
  <c r="Z379" i="1" s="1"/>
  <c r="X373" i="1"/>
  <c r="V373" i="1"/>
  <c r="Z372" i="1"/>
  <c r="Z371" i="1"/>
  <c r="Z373" i="1" s="1"/>
  <c r="Z370" i="1"/>
  <c r="X369" i="1"/>
  <c r="V369" i="1"/>
  <c r="Z367" i="1"/>
  <c r="Z365" i="1"/>
  <c r="Z369" i="1" s="1"/>
  <c r="Q372" i="1"/>
  <c r="Q371" i="1"/>
  <c r="Q370" i="1"/>
  <c r="Q369" i="1"/>
  <c r="O368" i="1"/>
  <c r="O373" i="1" s="1"/>
  <c r="M368" i="1"/>
  <c r="M373" i="1" s="1"/>
  <c r="Q367" i="1"/>
  <c r="Q366" i="1"/>
  <c r="Q368" i="1" s="1"/>
  <c r="Q373" i="1" s="1"/>
  <c r="H374" i="1"/>
  <c r="H373" i="1"/>
  <c r="F372" i="1"/>
  <c r="F375" i="1" s="1"/>
  <c r="D372" i="1"/>
  <c r="D375" i="1" s="1"/>
  <c r="H371" i="1"/>
  <c r="F371" i="1"/>
  <c r="D371" i="1"/>
  <c r="H370" i="1"/>
  <c r="H369" i="1"/>
  <c r="H368" i="1"/>
  <c r="H367" i="1"/>
  <c r="H366" i="1"/>
  <c r="H365" i="1"/>
  <c r="V344" i="1"/>
  <c r="Q348" i="1"/>
  <c r="O348" i="1"/>
  <c r="Q322" i="1"/>
  <c r="O322" i="1"/>
  <c r="M322" i="1"/>
  <c r="Q341" i="1"/>
  <c r="Q342" i="1"/>
  <c r="M343" i="1"/>
  <c r="M348" i="1" s="1"/>
  <c r="O343" i="1"/>
  <c r="Q343" i="1"/>
  <c r="Q344" i="1"/>
  <c r="Q345" i="1"/>
  <c r="Q346" i="1"/>
  <c r="Q347" i="1"/>
  <c r="X348" i="1"/>
  <c r="Z347" i="1"/>
  <c r="Z358" i="1"/>
  <c r="X358" i="1"/>
  <c r="V358" i="1"/>
  <c r="Z357" i="1"/>
  <c r="Z356" i="1"/>
  <c r="Z355" i="1"/>
  <c r="X354" i="1"/>
  <c r="X359" i="1" s="1"/>
  <c r="V354" i="1"/>
  <c r="V359" i="1" s="1"/>
  <c r="Z353" i="1"/>
  <c r="Z352" i="1"/>
  <c r="Z351" i="1"/>
  <c r="Z350" i="1"/>
  <c r="V349" i="1"/>
  <c r="Z348" i="1"/>
  <c r="V348" i="1"/>
  <c r="Z346" i="1"/>
  <c r="Z345" i="1"/>
  <c r="X344" i="1"/>
  <c r="X349" i="1" s="1"/>
  <c r="Z342" i="1"/>
  <c r="Z340" i="1"/>
  <c r="H349" i="1"/>
  <c r="H348" i="1"/>
  <c r="F347" i="1"/>
  <c r="F350" i="1" s="1"/>
  <c r="D347" i="1"/>
  <c r="H347" i="1" s="1"/>
  <c r="H346" i="1"/>
  <c r="F346" i="1"/>
  <c r="D346" i="1"/>
  <c r="H345" i="1"/>
  <c r="H344" i="1"/>
  <c r="H343" i="1"/>
  <c r="H342" i="1"/>
  <c r="H341" i="1"/>
  <c r="H340" i="1"/>
  <c r="V328" i="1"/>
  <c r="V333" i="1"/>
  <c r="X332" i="1"/>
  <c r="Z332" i="1" s="1"/>
  <c r="V332" i="1"/>
  <c r="Z331" i="1"/>
  <c r="Z330" i="1"/>
  <c r="Z329" i="1"/>
  <c r="X328" i="1"/>
  <c r="X333" i="1" s="1"/>
  <c r="Z327" i="1"/>
  <c r="Z326" i="1"/>
  <c r="Z325" i="1"/>
  <c r="Z324" i="1"/>
  <c r="V323" i="1"/>
  <c r="V322" i="1"/>
  <c r="Z320" i="1"/>
  <c r="Z322" i="1" s="1"/>
  <c r="Z319" i="1"/>
  <c r="X318" i="1"/>
  <c r="X323" i="1" s="1"/>
  <c r="Z316" i="1"/>
  <c r="Z314" i="1"/>
  <c r="Q321" i="1"/>
  <c r="Q320" i="1"/>
  <c r="Q319" i="1"/>
  <c r="Q318" i="1"/>
  <c r="Q317" i="1"/>
  <c r="O317" i="1"/>
  <c r="M317" i="1"/>
  <c r="Q316" i="1"/>
  <c r="Q315" i="1"/>
  <c r="H323" i="1"/>
  <c r="H322" i="1"/>
  <c r="F320" i="1"/>
  <c r="F321" i="1" s="1"/>
  <c r="F324" i="1" s="1"/>
  <c r="D320" i="1"/>
  <c r="D321" i="1" s="1"/>
  <c r="H319" i="1"/>
  <c r="H318" i="1"/>
  <c r="H317" i="1"/>
  <c r="H316" i="1"/>
  <c r="H315" i="1"/>
  <c r="H314" i="1"/>
  <c r="Z290" i="1"/>
  <c r="X306" i="1"/>
  <c r="V306" i="1"/>
  <c r="V307" i="1" s="1"/>
  <c r="Z305" i="1"/>
  <c r="Z304" i="1"/>
  <c r="Z303" i="1"/>
  <c r="X302" i="1"/>
  <c r="X307" i="1" s="1"/>
  <c r="Z301" i="1"/>
  <c r="Z300" i="1"/>
  <c r="Z299" i="1"/>
  <c r="Z298" i="1"/>
  <c r="Z302" i="1" s="1"/>
  <c r="V297" i="1"/>
  <c r="V296" i="1"/>
  <c r="Z294" i="1"/>
  <c r="Z296" i="1" s="1"/>
  <c r="Z293" i="1"/>
  <c r="X292" i="1"/>
  <c r="X297" i="1" s="1"/>
  <c r="Z288" i="1"/>
  <c r="Q295" i="1"/>
  <c r="Q294" i="1"/>
  <c r="Q293" i="1"/>
  <c r="Q292" i="1"/>
  <c r="O291" i="1"/>
  <c r="O296" i="1" s="1"/>
  <c r="M291" i="1"/>
  <c r="M296" i="1" s="1"/>
  <c r="Q290" i="1"/>
  <c r="Q289" i="1"/>
  <c r="H297" i="1"/>
  <c r="H296" i="1"/>
  <c r="F294" i="1"/>
  <c r="F295" i="1" s="1"/>
  <c r="F298" i="1" s="1"/>
  <c r="D294" i="1"/>
  <c r="H294" i="1" s="1"/>
  <c r="H293" i="1"/>
  <c r="H292" i="1"/>
  <c r="H291" i="1"/>
  <c r="H290" i="1"/>
  <c r="H289" i="1"/>
  <c r="H288" i="1"/>
  <c r="X276" i="1"/>
  <c r="X280" i="1"/>
  <c r="X281" i="1" s="1"/>
  <c r="V280" i="1"/>
  <c r="V281" i="1" s="1"/>
  <c r="Z279" i="1"/>
  <c r="Z278" i="1"/>
  <c r="Z277" i="1"/>
  <c r="Z275" i="1"/>
  <c r="Z274" i="1"/>
  <c r="Z273" i="1"/>
  <c r="Z272" i="1"/>
  <c r="V270" i="1"/>
  <c r="Z268" i="1"/>
  <c r="Z270" i="1" s="1"/>
  <c r="Z267" i="1"/>
  <c r="X266" i="1"/>
  <c r="X271" i="1" s="1"/>
  <c r="V266" i="1"/>
  <c r="Z262" i="1"/>
  <c r="Z266" i="1" s="1"/>
  <c r="Q269" i="1"/>
  <c r="Q268" i="1"/>
  <c r="Q267" i="1"/>
  <c r="Q266" i="1"/>
  <c r="O265" i="1"/>
  <c r="O270" i="1" s="1"/>
  <c r="M265" i="1"/>
  <c r="M270" i="1" s="1"/>
  <c r="Q264" i="1"/>
  <c r="Q263" i="1"/>
  <c r="H272" i="1"/>
  <c r="H271" i="1"/>
  <c r="F269" i="1"/>
  <c r="F270" i="1" s="1"/>
  <c r="F273" i="1" s="1"/>
  <c r="D269" i="1"/>
  <c r="D270" i="1" s="1"/>
  <c r="H268" i="1"/>
  <c r="H267" i="1"/>
  <c r="H266" i="1"/>
  <c r="H265" i="1"/>
  <c r="H264" i="1"/>
  <c r="H263" i="1"/>
  <c r="X255" i="1"/>
  <c r="V255" i="1"/>
  <c r="V256" i="1" s="1"/>
  <c r="Z254" i="1"/>
  <c r="Z253" i="1"/>
  <c r="Z252" i="1"/>
  <c r="X251" i="1"/>
  <c r="Z250" i="1"/>
  <c r="Z249" i="1"/>
  <c r="Z248" i="1"/>
  <c r="Z247" i="1"/>
  <c r="Z251" i="1" s="1"/>
  <c r="V245" i="1"/>
  <c r="Z243" i="1"/>
  <c r="Z245" i="1" s="1"/>
  <c r="Z242" i="1"/>
  <c r="X241" i="1"/>
  <c r="X246" i="1" s="1"/>
  <c r="V241" i="1"/>
  <c r="V246" i="1" s="1"/>
  <c r="Z237" i="1"/>
  <c r="Z241" i="1" s="1"/>
  <c r="Z246" i="1" s="1"/>
  <c r="Q244" i="1"/>
  <c r="Q243" i="1"/>
  <c r="Q242" i="1"/>
  <c r="Q241" i="1"/>
  <c r="O240" i="1"/>
  <c r="O245" i="1" s="1"/>
  <c r="M240" i="1"/>
  <c r="M245" i="1" s="1"/>
  <c r="Q239" i="1"/>
  <c r="Q238" i="1"/>
  <c r="Q240" i="1" s="1"/>
  <c r="H246" i="1"/>
  <c r="H245" i="1"/>
  <c r="F243" i="1"/>
  <c r="F244" i="1" s="1"/>
  <c r="F247" i="1" s="1"/>
  <c r="D243" i="1"/>
  <c r="D244" i="1" s="1"/>
  <c r="H242" i="1"/>
  <c r="H241" i="1"/>
  <c r="H240" i="1"/>
  <c r="H239" i="1"/>
  <c r="H238" i="1"/>
  <c r="H237" i="1"/>
  <c r="Z215" i="1"/>
  <c r="V229" i="1"/>
  <c r="X228" i="1"/>
  <c r="Z228" i="1" s="1"/>
  <c r="V228" i="1"/>
  <c r="Z227" i="1"/>
  <c r="Z226" i="1"/>
  <c r="Z225" i="1"/>
  <c r="X224" i="1"/>
  <c r="Z223" i="1"/>
  <c r="Z222" i="1"/>
  <c r="Z221" i="1"/>
  <c r="Z220" i="1"/>
  <c r="X219" i="1"/>
  <c r="V218" i="1"/>
  <c r="Z216" i="1"/>
  <c r="Z218" i="1" s="1"/>
  <c r="X214" i="1"/>
  <c r="V214" i="1"/>
  <c r="Z210" i="1"/>
  <c r="Z214" i="1" s="1"/>
  <c r="Q217" i="1"/>
  <c r="Q216" i="1"/>
  <c r="Q215" i="1"/>
  <c r="Q214" i="1"/>
  <c r="O213" i="1"/>
  <c r="O218" i="1" s="1"/>
  <c r="M213" i="1"/>
  <c r="M218" i="1" s="1"/>
  <c r="Q212" i="1"/>
  <c r="Q211" i="1"/>
  <c r="H219" i="1"/>
  <c r="H218" i="1"/>
  <c r="F216" i="1"/>
  <c r="F217" i="1" s="1"/>
  <c r="F220" i="1" s="1"/>
  <c r="D216" i="1"/>
  <c r="D217" i="1" s="1"/>
  <c r="H215" i="1"/>
  <c r="H214" i="1"/>
  <c r="H213" i="1"/>
  <c r="H212" i="1"/>
  <c r="H211" i="1"/>
  <c r="H210" i="1"/>
  <c r="X201" i="1"/>
  <c r="V201" i="1"/>
  <c r="V202" i="1" s="1"/>
  <c r="Z200" i="1"/>
  <c r="Z199" i="1"/>
  <c r="Z198" i="1"/>
  <c r="X197" i="1"/>
  <c r="Z196" i="1"/>
  <c r="Z195" i="1"/>
  <c r="Z194" i="1"/>
  <c r="Z193" i="1"/>
  <c r="Z197" i="1" s="1"/>
  <c r="V191" i="1"/>
  <c r="Z189" i="1"/>
  <c r="Z191" i="1" s="1"/>
  <c r="X187" i="1"/>
  <c r="X192" i="1" s="1"/>
  <c r="V187" i="1"/>
  <c r="Z183" i="1"/>
  <c r="Z187" i="1" s="1"/>
  <c r="Z192" i="1" s="1"/>
  <c r="Q190" i="1"/>
  <c r="Q189" i="1"/>
  <c r="Q188" i="1"/>
  <c r="Q187" i="1"/>
  <c r="O186" i="1"/>
  <c r="O191" i="1" s="1"/>
  <c r="M186" i="1"/>
  <c r="M191" i="1" s="1"/>
  <c r="Q185" i="1"/>
  <c r="Q184" i="1"/>
  <c r="H192" i="1"/>
  <c r="H191" i="1"/>
  <c r="F189" i="1"/>
  <c r="F190" i="1" s="1"/>
  <c r="F193" i="1" s="1"/>
  <c r="D189" i="1"/>
  <c r="D190" i="1" s="1"/>
  <c r="H188" i="1"/>
  <c r="H187" i="1"/>
  <c r="H186" i="1"/>
  <c r="H185" i="1"/>
  <c r="H184" i="1"/>
  <c r="H183" i="1"/>
  <c r="X174" i="1"/>
  <c r="V174" i="1"/>
  <c r="Z174" i="1" s="1"/>
  <c r="Z173" i="1"/>
  <c r="Z172" i="1"/>
  <c r="Z171" i="1"/>
  <c r="X170" i="1"/>
  <c r="X175" i="1" s="1"/>
  <c r="V170" i="1"/>
  <c r="Z169" i="1"/>
  <c r="Z168" i="1"/>
  <c r="Z167" i="1"/>
  <c r="Z170" i="1" s="1"/>
  <c r="Z166" i="1"/>
  <c r="V164" i="1"/>
  <c r="Z162" i="1"/>
  <c r="Z164" i="1" s="1"/>
  <c r="X160" i="1"/>
  <c r="X165" i="1" s="1"/>
  <c r="V160" i="1"/>
  <c r="Z156" i="1"/>
  <c r="Z160" i="1" s="1"/>
  <c r="Q163" i="1"/>
  <c r="Q162" i="1"/>
  <c r="Q161" i="1"/>
  <c r="Q160" i="1"/>
  <c r="O159" i="1"/>
  <c r="O164" i="1" s="1"/>
  <c r="M159" i="1"/>
  <c r="M164" i="1" s="1"/>
  <c r="Q158" i="1"/>
  <c r="Q157" i="1"/>
  <c r="Q159" i="1" s="1"/>
  <c r="Q164" i="1" s="1"/>
  <c r="H165" i="1"/>
  <c r="H164" i="1"/>
  <c r="F162" i="1"/>
  <c r="F163" i="1" s="1"/>
  <c r="F166" i="1" s="1"/>
  <c r="D162" i="1"/>
  <c r="D163" i="1" s="1"/>
  <c r="H161" i="1"/>
  <c r="H160" i="1"/>
  <c r="H159" i="1"/>
  <c r="H158" i="1"/>
  <c r="H157" i="1"/>
  <c r="H156" i="1"/>
  <c r="X148" i="1"/>
  <c r="V148" i="1"/>
  <c r="Z148" i="1" s="1"/>
  <c r="Z147" i="1"/>
  <c r="Z146" i="1"/>
  <c r="Z145" i="1"/>
  <c r="X144" i="1"/>
  <c r="X149" i="1" s="1"/>
  <c r="V144" i="1"/>
  <c r="V149" i="1" s="1"/>
  <c r="Z149" i="1" s="1"/>
  <c r="Z143" i="1"/>
  <c r="Z142" i="1"/>
  <c r="Z141" i="1"/>
  <c r="Z140" i="1"/>
  <c r="V138" i="1"/>
  <c r="Z136" i="1"/>
  <c r="Z138" i="1" s="1"/>
  <c r="X134" i="1"/>
  <c r="X139" i="1" s="1"/>
  <c r="V134" i="1"/>
  <c r="Z130" i="1"/>
  <c r="Z134" i="1" s="1"/>
  <c r="Z139" i="1" s="1"/>
  <c r="O133" i="1"/>
  <c r="O138" i="1" s="1"/>
  <c r="Q137" i="1"/>
  <c r="Q136" i="1"/>
  <c r="Q135" i="1"/>
  <c r="Q134" i="1"/>
  <c r="M133" i="1"/>
  <c r="M138" i="1" s="1"/>
  <c r="Q132" i="1"/>
  <c r="Q131" i="1"/>
  <c r="H139" i="1"/>
  <c r="H138" i="1"/>
  <c r="F136" i="1"/>
  <c r="D136" i="1"/>
  <c r="D137" i="1" s="1"/>
  <c r="H135" i="1"/>
  <c r="H134" i="1"/>
  <c r="H133" i="1"/>
  <c r="H132" i="1"/>
  <c r="H131" i="1"/>
  <c r="H130" i="1"/>
  <c r="X122" i="1"/>
  <c r="V122" i="1"/>
  <c r="Z122" i="1" s="1"/>
  <c r="Z121" i="1"/>
  <c r="Z120" i="1"/>
  <c r="Z119" i="1"/>
  <c r="X118" i="1"/>
  <c r="V118" i="1"/>
  <c r="Z117" i="1"/>
  <c r="Z116" i="1"/>
  <c r="Z115" i="1"/>
  <c r="Z114" i="1"/>
  <c r="Z118" i="1" s="1"/>
  <c r="V112" i="1"/>
  <c r="Z110" i="1"/>
  <c r="Z112" i="1" s="1"/>
  <c r="Z113" i="1" s="1"/>
  <c r="X108" i="1"/>
  <c r="X113" i="1" s="1"/>
  <c r="V108" i="1"/>
  <c r="Z104" i="1"/>
  <c r="Z108" i="1" s="1"/>
  <c r="O112" i="1"/>
  <c r="Q111" i="1"/>
  <c r="Q110" i="1"/>
  <c r="Q109" i="1"/>
  <c r="Q108" i="1"/>
  <c r="M107" i="1"/>
  <c r="M112" i="1" s="1"/>
  <c r="Q106" i="1"/>
  <c r="Q105" i="1"/>
  <c r="H113" i="1"/>
  <c r="H112" i="1"/>
  <c r="F110" i="1"/>
  <c r="F111" i="1" s="1"/>
  <c r="F114" i="1" s="1"/>
  <c r="D110" i="1"/>
  <c r="H110" i="1" s="1"/>
  <c r="H109" i="1"/>
  <c r="H108" i="1"/>
  <c r="H107" i="1"/>
  <c r="H106" i="1"/>
  <c r="H105" i="1"/>
  <c r="H104" i="1"/>
  <c r="V94" i="1"/>
  <c r="X98" i="1"/>
  <c r="V98" i="1"/>
  <c r="Z97" i="1"/>
  <c r="Z96" i="1"/>
  <c r="Z95" i="1"/>
  <c r="X94" i="1"/>
  <c r="Z93" i="1"/>
  <c r="Z92" i="1"/>
  <c r="Z91" i="1"/>
  <c r="Z90" i="1"/>
  <c r="V88" i="1"/>
  <c r="Z86" i="1"/>
  <c r="Z88" i="1" s="1"/>
  <c r="X84" i="1"/>
  <c r="X89" i="1" s="1"/>
  <c r="V84" i="1"/>
  <c r="V89" i="1" s="1"/>
  <c r="Z89" i="1" s="1"/>
  <c r="Z80" i="1"/>
  <c r="Z84" i="1" s="1"/>
  <c r="O88" i="1"/>
  <c r="Q87" i="1"/>
  <c r="Q86" i="1"/>
  <c r="Q85" i="1"/>
  <c r="Q84" i="1"/>
  <c r="M83" i="1"/>
  <c r="M88" i="1" s="1"/>
  <c r="Q82" i="1"/>
  <c r="Q81" i="1"/>
  <c r="H89" i="1"/>
  <c r="H88" i="1"/>
  <c r="F86" i="1"/>
  <c r="F87" i="1" s="1"/>
  <c r="F90" i="1" s="1"/>
  <c r="D86" i="1"/>
  <c r="D87" i="1" s="1"/>
  <c r="D90" i="1" s="1"/>
  <c r="H85" i="1"/>
  <c r="H84" i="1"/>
  <c r="H83" i="1"/>
  <c r="H82" i="1"/>
  <c r="H81" i="1"/>
  <c r="H80" i="1"/>
  <c r="X69" i="1"/>
  <c r="X73" i="1"/>
  <c r="V73" i="1"/>
  <c r="V74" i="1" s="1"/>
  <c r="Z72" i="1"/>
  <c r="Z71" i="1"/>
  <c r="Z70" i="1"/>
  <c r="Z68" i="1"/>
  <c r="Z67" i="1"/>
  <c r="Z69" i="1" s="1"/>
  <c r="Z66" i="1"/>
  <c r="Z65" i="1"/>
  <c r="V63" i="1"/>
  <c r="Z61" i="1"/>
  <c r="Z63" i="1" s="1"/>
  <c r="X59" i="1"/>
  <c r="X64" i="1" s="1"/>
  <c r="V59" i="1"/>
  <c r="V64" i="1" s="1"/>
  <c r="Z55" i="1"/>
  <c r="Z59" i="1" s="1"/>
  <c r="O61" i="1"/>
  <c r="Q60" i="1"/>
  <c r="Q59" i="1"/>
  <c r="Q58" i="1"/>
  <c r="Q57" i="1"/>
  <c r="M56" i="1"/>
  <c r="M61" i="1" s="1"/>
  <c r="Q55" i="1"/>
  <c r="Q56" i="1" s="1"/>
  <c r="Q61" i="1" s="1"/>
  <c r="Q54" i="1"/>
  <c r="H62" i="1"/>
  <c r="H61" i="1"/>
  <c r="F59" i="1"/>
  <c r="F60" i="1" s="1"/>
  <c r="F63" i="1" s="1"/>
  <c r="D59" i="1"/>
  <c r="D60" i="1" s="1"/>
  <c r="H58" i="1"/>
  <c r="H57" i="1"/>
  <c r="H56" i="1"/>
  <c r="H55" i="1"/>
  <c r="H54" i="1"/>
  <c r="H53" i="1"/>
  <c r="X48" i="1"/>
  <c r="X49" i="1" s="1"/>
  <c r="V48" i="1"/>
  <c r="V49" i="1" s="1"/>
  <c r="X34" i="1"/>
  <c r="X39" i="1"/>
  <c r="Z47" i="1"/>
  <c r="Z46" i="1"/>
  <c r="Z45" i="1"/>
  <c r="Z44" i="1"/>
  <c r="Z43" i="1"/>
  <c r="Z42" i="1"/>
  <c r="Z41" i="1"/>
  <c r="Z40" i="1"/>
  <c r="V38" i="1"/>
  <c r="Z36" i="1"/>
  <c r="Z38" i="1" s="1"/>
  <c r="V34" i="1"/>
  <c r="Z30" i="1"/>
  <c r="Z34" i="1" s="1"/>
  <c r="O38" i="1"/>
  <c r="Q37" i="1"/>
  <c r="Q36" i="1"/>
  <c r="Q35" i="1"/>
  <c r="Q34" i="1"/>
  <c r="M33" i="1"/>
  <c r="Q33" i="1" s="1"/>
  <c r="Q32" i="1"/>
  <c r="Q31" i="1"/>
  <c r="H39" i="1"/>
  <c r="H38" i="1"/>
  <c r="F36" i="1"/>
  <c r="F37" i="1" s="1"/>
  <c r="F40" i="1" s="1"/>
  <c r="D36" i="1"/>
  <c r="D37" i="1" s="1"/>
  <c r="H35" i="1"/>
  <c r="H34" i="1"/>
  <c r="H33" i="1"/>
  <c r="H32" i="1"/>
  <c r="H31" i="1"/>
  <c r="H30" i="1"/>
  <c r="V22" i="1"/>
  <c r="Z21" i="1"/>
  <c r="Z22" i="1"/>
  <c r="Z19" i="1"/>
  <c r="Z20" i="1"/>
  <c r="Z15" i="1"/>
  <c r="Z16" i="1"/>
  <c r="Z17" i="1"/>
  <c r="Z14" i="1"/>
  <c r="V18" i="1"/>
  <c r="V23" i="1" s="1"/>
  <c r="Z23" i="1" s="1"/>
  <c r="Z10" i="1"/>
  <c r="Z12" i="1" s="1"/>
  <c r="V12" i="1"/>
  <c r="Z4" i="1"/>
  <c r="Z8" i="1" s="1"/>
  <c r="V8" i="1"/>
  <c r="V13" i="1" s="1"/>
  <c r="Z13" i="1" s="1"/>
  <c r="Q5" i="1"/>
  <c r="Q6" i="1"/>
  <c r="Q8" i="1"/>
  <c r="Q9" i="1"/>
  <c r="Q10" i="1"/>
  <c r="Q11" i="1"/>
  <c r="O12" i="1"/>
  <c r="M12" i="1"/>
  <c r="Q12" i="1" s="1"/>
  <c r="M7" i="1"/>
  <c r="Q7" i="1" s="1"/>
  <c r="H5" i="1"/>
  <c r="H6" i="1"/>
  <c r="H7" i="1"/>
  <c r="H8" i="1"/>
  <c r="H9" i="1"/>
  <c r="H12" i="1"/>
  <c r="H13" i="1"/>
  <c r="H4" i="1"/>
  <c r="F10" i="1"/>
  <c r="D10" i="1"/>
  <c r="D11" i="1" s="1"/>
  <c r="H400" i="1" l="1"/>
  <c r="D403" i="1"/>
  <c r="H403" i="1" s="1"/>
  <c r="H399" i="1"/>
  <c r="Z384" i="1"/>
  <c r="X374" i="1"/>
  <c r="V374" i="1"/>
  <c r="Z374" i="1"/>
  <c r="H375" i="1"/>
  <c r="H372" i="1"/>
  <c r="Z359" i="1"/>
  <c r="Z354" i="1"/>
  <c r="Z344" i="1"/>
  <c r="Z349" i="1" s="1"/>
  <c r="D350" i="1"/>
  <c r="H350" i="1" s="1"/>
  <c r="Z328" i="1"/>
  <c r="Z333" i="1"/>
  <c r="Z318" i="1"/>
  <c r="Z323" i="1" s="1"/>
  <c r="D324" i="1"/>
  <c r="H324" i="1" s="1"/>
  <c r="H321" i="1"/>
  <c r="H320" i="1"/>
  <c r="Z307" i="1"/>
  <c r="Z281" i="1"/>
  <c r="V123" i="1"/>
  <c r="X123" i="1"/>
  <c r="V192" i="1"/>
  <c r="V99" i="1"/>
  <c r="V219" i="1"/>
  <c r="Q133" i="1"/>
  <c r="Q138" i="1" s="1"/>
  <c r="Z224" i="1"/>
  <c r="H10" i="1"/>
  <c r="V113" i="1"/>
  <c r="Z271" i="1"/>
  <c r="Q213" i="1"/>
  <c r="Q218" i="1" s="1"/>
  <c r="V271" i="1"/>
  <c r="M38" i="1"/>
  <c r="Z94" i="1"/>
  <c r="V139" i="1"/>
  <c r="Q245" i="1"/>
  <c r="Z306" i="1"/>
  <c r="H136" i="1"/>
  <c r="Z276" i="1"/>
  <c r="V165" i="1"/>
  <c r="Z292" i="1"/>
  <c r="Z297" i="1" s="1"/>
  <c r="Q291" i="1"/>
  <c r="Q296" i="1" s="1"/>
  <c r="D295" i="1"/>
  <c r="Z280" i="1"/>
  <c r="Q265" i="1"/>
  <c r="Q270" i="1" s="1"/>
  <c r="D273" i="1"/>
  <c r="H273" i="1" s="1"/>
  <c r="H270" i="1"/>
  <c r="H269" i="1"/>
  <c r="X256" i="1"/>
  <c r="Z256" i="1" s="1"/>
  <c r="Z255" i="1"/>
  <c r="D247" i="1"/>
  <c r="H247" i="1" s="1"/>
  <c r="H244" i="1"/>
  <c r="H243" i="1"/>
  <c r="Z219" i="1"/>
  <c r="X229" i="1"/>
  <c r="Z229" i="1" s="1"/>
  <c r="D220" i="1"/>
  <c r="H220" i="1" s="1"/>
  <c r="H217" i="1"/>
  <c r="H216" i="1"/>
  <c r="X202" i="1"/>
  <c r="Z202" i="1" s="1"/>
  <c r="Z201" i="1"/>
  <c r="Q186" i="1"/>
  <c r="Q191" i="1" s="1"/>
  <c r="D193" i="1"/>
  <c r="H193" i="1" s="1"/>
  <c r="H190" i="1"/>
  <c r="H189" i="1"/>
  <c r="Z165" i="1"/>
  <c r="V175" i="1"/>
  <c r="Z175" i="1" s="1"/>
  <c r="D166" i="1"/>
  <c r="H166" i="1" s="1"/>
  <c r="H163" i="1"/>
  <c r="H162" i="1"/>
  <c r="Z144" i="1"/>
  <c r="F137" i="1"/>
  <c r="F140" i="1" s="1"/>
  <c r="H137" i="1"/>
  <c r="D140" i="1"/>
  <c r="H140" i="1" s="1"/>
  <c r="Q107" i="1"/>
  <c r="Q112" i="1" s="1"/>
  <c r="D111" i="1"/>
  <c r="X99" i="1"/>
  <c r="Z99" i="1"/>
  <c r="Z98" i="1"/>
  <c r="Q83" i="1"/>
  <c r="Q88" i="1" s="1"/>
  <c r="H90" i="1"/>
  <c r="H87" i="1"/>
  <c r="H86" i="1"/>
  <c r="X74" i="1"/>
  <c r="Z74" i="1"/>
  <c r="Z64" i="1"/>
  <c r="Z73" i="1"/>
  <c r="D63" i="1"/>
  <c r="H63" i="1" s="1"/>
  <c r="H60" i="1"/>
  <c r="H59" i="1"/>
  <c r="D14" i="1"/>
  <c r="F11" i="1"/>
  <c r="F14" i="1" s="1"/>
  <c r="Z18" i="1"/>
  <c r="Z48" i="1"/>
  <c r="Z49" i="1"/>
  <c r="V39" i="1"/>
  <c r="Z39" i="1" s="1"/>
  <c r="Q38" i="1"/>
  <c r="H36" i="1"/>
  <c r="D40" i="1"/>
  <c r="H40" i="1" s="1"/>
  <c r="H37" i="1"/>
  <c r="Z123" i="1" l="1"/>
  <c r="D298" i="1"/>
  <c r="H298" i="1" s="1"/>
  <c r="H295" i="1"/>
  <c r="D114" i="1"/>
  <c r="H114" i="1" s="1"/>
  <c r="H111" i="1"/>
  <c r="H14" i="1"/>
  <c r="H11" i="1"/>
</calcChain>
</file>

<file path=xl/sharedStrings.xml><?xml version="1.0" encoding="utf-8"?>
<sst xmlns="http://schemas.openxmlformats.org/spreadsheetml/2006/main" count="1521" uniqueCount="98">
  <si>
    <t>BALANCE SHEET</t>
  </si>
  <si>
    <t>For period transaction 1 to 4</t>
  </si>
  <si>
    <t>1-2 =3</t>
  </si>
  <si>
    <t>4+5+6=7</t>
  </si>
  <si>
    <t>3-7=8</t>
  </si>
  <si>
    <t>8+9-10=11</t>
  </si>
  <si>
    <t>NET SALES</t>
  </si>
  <si>
    <t>GROSS MARGIN'</t>
  </si>
  <si>
    <t>SALES &amp; MARKETING</t>
  </si>
  <si>
    <t>RESEARCH &amp; DEVELOPMENT</t>
  </si>
  <si>
    <t>GENERAL &amp; ADMINSTRATIVES</t>
  </si>
  <si>
    <t>OPERATING EXPENSES</t>
  </si>
  <si>
    <t>INCOME FROM OPERATION</t>
  </si>
  <si>
    <t>NET INTREST INCOME</t>
  </si>
  <si>
    <t>INCOME TAX</t>
  </si>
  <si>
    <t>NET INCOME</t>
  </si>
  <si>
    <t>prior</t>
  </si>
  <si>
    <t>+</t>
  </si>
  <si>
    <t>transaction</t>
  </si>
  <si>
    <t>=</t>
  </si>
  <si>
    <t>sum</t>
  </si>
  <si>
    <t>INCOME STATEMENT</t>
  </si>
  <si>
    <t>CASHFLOW STATEMENT</t>
  </si>
  <si>
    <t>a</t>
  </si>
  <si>
    <t>b</t>
  </si>
  <si>
    <t>c</t>
  </si>
  <si>
    <t>b-c =d</t>
  </si>
  <si>
    <t>e</t>
  </si>
  <si>
    <t>g</t>
  </si>
  <si>
    <t>h</t>
  </si>
  <si>
    <t>f</t>
  </si>
  <si>
    <t>a+d-e+f-g+h=i</t>
  </si>
  <si>
    <t>BEGINNING CASH BALANCE</t>
  </si>
  <si>
    <t>COST OF GOODS SOLD</t>
  </si>
  <si>
    <t>CASH RECEIPT</t>
  </si>
  <si>
    <t>CASH DISBURSEMENT</t>
  </si>
  <si>
    <t>CASH FLOW FROM OPERATIONS</t>
  </si>
  <si>
    <t>PP&amp;E PURCHASE</t>
  </si>
  <si>
    <t>NET BORROWING</t>
  </si>
  <si>
    <t>INCOME TAX PAID</t>
  </si>
  <si>
    <t>SALES OF CAPITAL STOCK</t>
  </si>
  <si>
    <t>ENDING CASH BALANCE</t>
  </si>
  <si>
    <t xml:space="preserve"> </t>
  </si>
  <si>
    <t>A</t>
  </si>
  <si>
    <t>C</t>
  </si>
  <si>
    <t>D</t>
  </si>
  <si>
    <t>B</t>
  </si>
  <si>
    <t>A+B+C+D=E</t>
  </si>
  <si>
    <t>G</t>
  </si>
  <si>
    <t>H</t>
  </si>
  <si>
    <t>F</t>
  </si>
  <si>
    <t>G-H=I</t>
  </si>
  <si>
    <t>E+F+I=J</t>
  </si>
  <si>
    <t>K</t>
  </si>
  <si>
    <t>L</t>
  </si>
  <si>
    <t>M</t>
  </si>
  <si>
    <t>N</t>
  </si>
  <si>
    <t>K+L+M+N=O</t>
  </si>
  <si>
    <t>P</t>
  </si>
  <si>
    <t>Q</t>
  </si>
  <si>
    <t>R</t>
  </si>
  <si>
    <t>Q+R=S</t>
  </si>
  <si>
    <t>O+P+S=T</t>
  </si>
  <si>
    <t>CASH</t>
  </si>
  <si>
    <t>ACCOUNT RECEIVABLE</t>
  </si>
  <si>
    <t>INVENTORIES</t>
  </si>
  <si>
    <t>CURRENT ASSETS</t>
  </si>
  <si>
    <t>OTHET ASSETS</t>
  </si>
  <si>
    <t>FIXED ASSETS @ COST</t>
  </si>
  <si>
    <t>ACCUMULATED DEPRECIATION</t>
  </si>
  <si>
    <t>NET FIXED ASSETS</t>
  </si>
  <si>
    <t>TOTAL ASSETS</t>
  </si>
  <si>
    <t>ACCOUNT PAYABLE</t>
  </si>
  <si>
    <t xml:space="preserve">ACCRUED EXPENSES </t>
  </si>
  <si>
    <t>CURRENT PORTION OF DEBT</t>
  </si>
  <si>
    <t>INCOME TAX PAYABLE</t>
  </si>
  <si>
    <t>CURRENT LIABILITIES</t>
  </si>
  <si>
    <t>LONG TERM DEBT</t>
  </si>
  <si>
    <t>CAPITAL STOCK</t>
  </si>
  <si>
    <t>RETAINED EARNING</t>
  </si>
  <si>
    <t>SHAREHOLDER EQUITY</t>
  </si>
  <si>
    <t>TOTAL LAIBLITIES AND EQUITY</t>
  </si>
  <si>
    <t>PREPAID EXPENSES</t>
  </si>
  <si>
    <t>STARTUP FINANCING AND STAFFING</t>
  </si>
  <si>
    <t>EXCHANGE 1,500,000 MILLION FOR STOCK CERTIFICATE OF 150,000</t>
  </si>
  <si>
    <t>PAYMENT OF 5,000 FOR MANAGER SALARY COST COMPANY 6,230</t>
  </si>
  <si>
    <t>Borrow $1 million to purchase an all-purpose building.</t>
  </si>
  <si>
    <t>Purchase 100,000 square foot building and land for $1.5 million in cash</t>
  </si>
  <si>
    <t>Hire administrative and sales staff.</t>
  </si>
  <si>
    <t>Order 250,000 worth of manufacturing equipment</t>
  </si>
  <si>
    <t>Pay 125,000 due balance from machinery purchase</t>
  </si>
  <si>
    <t>Hiring production workers and expense their first slary</t>
  </si>
  <si>
    <t>PLACING ORDER FOR RAW MATERIAL(APPLE SPICE AND PAKAGING MATERIAL)</t>
  </si>
  <si>
    <t>START PRODUCTION</t>
  </si>
  <si>
    <t>Receive two months’ supply of raw 
materials.</t>
  </si>
  <si>
    <t>Book Depreciation and other manufacturing overhead cost</t>
  </si>
  <si>
    <t>Pay for Labels</t>
  </si>
  <si>
    <t>Finiish Manufacturing 19,500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</si>
</sst>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theme="1" tint="0.14999847407452621"/>
      </bottom>
      <diagonal/>
    </border>
    <border>
      <left/>
      <right/>
      <top/>
      <bottom style="double">
        <color theme="1" tint="0.1499984740745262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/>
    <xf numFmtId="164" fontId="0" fillId="0" borderId="1" xfId="1" applyNumberFormat="1" applyFont="1" applyBorder="1"/>
    <xf numFmtId="164" fontId="0" fillId="0" borderId="0" xfId="1" applyNumberFormat="1" applyFont="1"/>
    <xf numFmtId="164" fontId="0" fillId="0" borderId="2" xfId="1" applyNumberFormat="1" applyFont="1" applyBorder="1"/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0" xfId="1" applyNumberFormat="1" applyFont="1" applyFill="1" applyBorder="1"/>
    <xf numFmtId="0" fontId="2" fillId="0" borderId="0" xfId="0" applyFont="1" applyAlignment="1">
      <alignment horizontal="left" vertical="center"/>
    </xf>
    <xf numFmtId="0" fontId="0" fillId="0" borderId="3" xfId="0" applyBorder="1"/>
    <xf numFmtId="164" fontId="0" fillId="0" borderId="3" xfId="1" applyNumberFormat="1" applyFont="1" applyBorder="1"/>
    <xf numFmtId="0" fontId="0" fillId="0" borderId="4" xfId="0" applyBorder="1"/>
    <xf numFmtId="164" fontId="0" fillId="0" borderId="4" xfId="1" applyNumberFormat="1" applyFont="1" applyBorder="1"/>
    <xf numFmtId="164" fontId="0" fillId="0" borderId="0" xfId="1" applyNumberFormat="1" applyFont="1" applyBorder="1"/>
    <xf numFmtId="164" fontId="4" fillId="0" borderId="0" xfId="1" applyNumberFormat="1" applyFont="1"/>
    <xf numFmtId="164" fontId="0" fillId="0" borderId="3" xfId="0" applyNumberFormat="1" applyBorder="1"/>
    <xf numFmtId="0" fontId="3" fillId="0" borderId="0" xfId="0" applyFont="1"/>
    <xf numFmtId="0" fontId="5" fillId="0" borderId="0" xfId="0" applyFont="1"/>
    <xf numFmtId="164" fontId="3" fillId="0" borderId="0" xfId="1" applyNumberFormat="1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5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C42D1C-8C5A-477A-9B92-1FB3CCE54EF0}">
  <we:reference id="WA200007447" version="1.0.0.0" store="Omex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1D2D-B154-481E-8C25-8B300C2EDDA5}">
  <dimension ref="A1:Z413"/>
  <sheetViews>
    <sheetView showGridLines="0" tabSelected="1" topLeftCell="A45" zoomScale="90" zoomScaleNormal="60" workbookViewId="0">
      <selection activeCell="X403" sqref="X403"/>
    </sheetView>
  </sheetViews>
  <sheetFormatPr defaultRowHeight="14.4" x14ac:dyDescent="0.3"/>
  <cols>
    <col min="1" max="1" width="9.6640625" style="2" bestFit="1" customWidth="1"/>
    <col min="2" max="2" width="2" customWidth="1"/>
    <col min="3" max="3" width="36.77734375" customWidth="1"/>
    <col min="4" max="4" width="16.77734375" style="9" customWidth="1"/>
    <col min="6" max="6" width="10.77734375" style="9" bestFit="1" customWidth="1"/>
    <col min="8" max="8" width="9.21875" bestFit="1" customWidth="1"/>
    <col min="10" max="10" width="14.21875" customWidth="1"/>
    <col min="11" max="11" width="27.5546875" bestFit="1" customWidth="1"/>
    <col min="13" max="13" width="11.21875" style="9" bestFit="1" customWidth="1"/>
    <col min="15" max="15" width="12.88671875" style="9" customWidth="1"/>
    <col min="17" max="17" width="11.21875" bestFit="1" customWidth="1"/>
    <col min="19" max="19" width="14.44140625" customWidth="1"/>
    <col min="20" max="20" width="26.5546875" bestFit="1" customWidth="1"/>
    <col min="22" max="22" width="13.88671875" style="9" bestFit="1" customWidth="1"/>
    <col min="24" max="24" width="11.88671875" style="9" customWidth="1"/>
    <col min="26" max="26" width="12.44140625" style="9" customWidth="1"/>
  </cols>
  <sheetData>
    <row r="1" spans="1:26" x14ac:dyDescent="0.3">
      <c r="A1" s="26" t="s">
        <v>21</v>
      </c>
      <c r="B1" s="26"/>
      <c r="C1" s="26"/>
      <c r="D1" s="26"/>
      <c r="E1" s="26"/>
      <c r="F1"/>
      <c r="J1" s="26" t="s">
        <v>22</v>
      </c>
      <c r="K1" s="26"/>
      <c r="L1" s="26"/>
      <c r="M1" s="26"/>
      <c r="N1" s="26"/>
      <c r="S1" s="26" t="s">
        <v>0</v>
      </c>
      <c r="T1" s="26"/>
      <c r="U1" s="26"/>
      <c r="V1" s="26"/>
      <c r="W1" s="26"/>
    </row>
    <row r="2" spans="1:26" x14ac:dyDescent="0.3">
      <c r="A2" s="26"/>
      <c r="B2" s="26"/>
      <c r="C2" s="26"/>
      <c r="D2" s="26"/>
      <c r="E2" s="26"/>
      <c r="F2"/>
      <c r="J2" s="26"/>
      <c r="K2" s="26"/>
      <c r="L2" s="26"/>
      <c r="M2" s="26"/>
      <c r="N2" s="26"/>
      <c r="S2" s="26"/>
      <c r="T2" s="26"/>
      <c r="U2" s="26"/>
      <c r="V2" s="26"/>
      <c r="W2" s="26"/>
    </row>
    <row r="3" spans="1:26" ht="15" thickBot="1" x14ac:dyDescent="0.35">
      <c r="A3" s="1" t="s">
        <v>1</v>
      </c>
      <c r="B3" s="1"/>
      <c r="C3" s="1"/>
      <c r="D3" s="8" t="s">
        <v>16</v>
      </c>
      <c r="E3" s="3" t="s">
        <v>17</v>
      </c>
      <c r="F3" s="8" t="s">
        <v>18</v>
      </c>
      <c r="G3" s="4" t="s">
        <v>19</v>
      </c>
      <c r="H3" s="1" t="s">
        <v>20</v>
      </c>
      <c r="J3" s="1" t="s">
        <v>1</v>
      </c>
      <c r="K3" s="1"/>
      <c r="L3" s="1"/>
      <c r="M3" s="8" t="s">
        <v>16</v>
      </c>
      <c r="N3" s="3" t="s">
        <v>17</v>
      </c>
      <c r="O3" s="8" t="s">
        <v>18</v>
      </c>
      <c r="P3" s="4" t="s">
        <v>19</v>
      </c>
      <c r="Q3" s="1" t="s">
        <v>20</v>
      </c>
      <c r="S3" s="1" t="s">
        <v>1</v>
      </c>
      <c r="T3" s="1"/>
      <c r="U3" s="1"/>
      <c r="V3" s="8" t="s">
        <v>16</v>
      </c>
      <c r="W3" s="3" t="s">
        <v>17</v>
      </c>
      <c r="X3" s="8" t="s">
        <v>18</v>
      </c>
      <c r="Y3" s="4" t="s">
        <v>19</v>
      </c>
      <c r="Z3" s="8" t="s">
        <v>20</v>
      </c>
    </row>
    <row r="4" spans="1:26" x14ac:dyDescent="0.3">
      <c r="A4" s="2">
        <v>1</v>
      </c>
      <c r="C4" t="s">
        <v>6</v>
      </c>
      <c r="D4" s="9">
        <v>0</v>
      </c>
      <c r="F4" s="9">
        <v>0</v>
      </c>
      <c r="H4" s="11">
        <f>D4+F4</f>
        <v>0</v>
      </c>
      <c r="J4" t="s">
        <v>23</v>
      </c>
      <c r="K4" t="s">
        <v>32</v>
      </c>
      <c r="M4" s="9">
        <v>0</v>
      </c>
      <c r="O4" s="9">
        <v>0</v>
      </c>
      <c r="Q4" s="11" t="s">
        <v>42</v>
      </c>
      <c r="S4" t="s">
        <v>43</v>
      </c>
      <c r="T4" t="s">
        <v>63</v>
      </c>
      <c r="V4" s="9">
        <v>2546630</v>
      </c>
      <c r="X4" s="9">
        <v>-1500000</v>
      </c>
      <c r="Z4" s="9">
        <f>V4+X4</f>
        <v>1046630</v>
      </c>
    </row>
    <row r="5" spans="1:26" ht="15" thickBot="1" x14ac:dyDescent="0.35">
      <c r="A5" s="5">
        <v>2</v>
      </c>
      <c r="B5" s="1"/>
      <c r="C5" s="1" t="s">
        <v>33</v>
      </c>
      <c r="D5" s="8">
        <v>0</v>
      </c>
      <c r="E5" s="1"/>
      <c r="F5" s="8">
        <v>0</v>
      </c>
      <c r="G5" s="1"/>
      <c r="H5" s="12">
        <f t="shared" ref="H5:H14" si="0">D5+F5</f>
        <v>0</v>
      </c>
      <c r="J5" t="s">
        <v>24</v>
      </c>
      <c r="K5" t="s">
        <v>34</v>
      </c>
      <c r="M5" s="9">
        <v>0</v>
      </c>
      <c r="O5" s="9">
        <v>0</v>
      </c>
      <c r="Q5" s="11">
        <f t="shared" ref="Q5:Q12" si="1">M5+O5</f>
        <v>0</v>
      </c>
      <c r="S5" t="s">
        <v>46</v>
      </c>
      <c r="T5" t="s">
        <v>64</v>
      </c>
      <c r="V5" s="9">
        <v>0</v>
      </c>
      <c r="X5" s="9">
        <v>0</v>
      </c>
      <c r="Z5" s="9">
        <v>0</v>
      </c>
    </row>
    <row r="6" spans="1:26" ht="15" thickBot="1" x14ac:dyDescent="0.35">
      <c r="A6" s="2" t="s">
        <v>2</v>
      </c>
      <c r="C6" t="s">
        <v>7</v>
      </c>
      <c r="D6" s="9">
        <v>0</v>
      </c>
      <c r="F6" s="9">
        <v>0</v>
      </c>
      <c r="H6" s="11">
        <f t="shared" si="0"/>
        <v>0</v>
      </c>
      <c r="J6" s="1" t="s">
        <v>25</v>
      </c>
      <c r="K6" s="1" t="s">
        <v>35</v>
      </c>
      <c r="L6" s="1"/>
      <c r="M6" s="8">
        <v>3370</v>
      </c>
      <c r="N6" s="1"/>
      <c r="O6" s="8">
        <v>0</v>
      </c>
      <c r="P6" s="1"/>
      <c r="Q6" s="11">
        <f t="shared" si="1"/>
        <v>3370</v>
      </c>
      <c r="S6" t="s">
        <v>44</v>
      </c>
      <c r="T6" t="s">
        <v>65</v>
      </c>
      <c r="V6" s="9">
        <v>0</v>
      </c>
      <c r="X6" s="9">
        <v>0</v>
      </c>
      <c r="Z6" s="9">
        <v>0</v>
      </c>
    </row>
    <row r="7" spans="1:26" ht="15" thickBot="1" x14ac:dyDescent="0.35">
      <c r="A7" s="2">
        <v>4</v>
      </c>
      <c r="C7" t="s">
        <v>8</v>
      </c>
      <c r="D7" s="9">
        <v>0</v>
      </c>
      <c r="F7" s="9">
        <v>0</v>
      </c>
      <c r="H7" s="11">
        <f t="shared" si="0"/>
        <v>0</v>
      </c>
      <c r="J7" t="s">
        <v>26</v>
      </c>
      <c r="K7" t="s">
        <v>36</v>
      </c>
      <c r="M7" s="9">
        <f>M5-M6</f>
        <v>-3370</v>
      </c>
      <c r="O7" s="14">
        <v>0</v>
      </c>
      <c r="Q7" s="11">
        <f t="shared" si="1"/>
        <v>-3370</v>
      </c>
      <c r="S7" s="16" t="s">
        <v>45</v>
      </c>
      <c r="T7" s="16" t="s">
        <v>82</v>
      </c>
      <c r="U7" s="16"/>
      <c r="V7" s="17">
        <v>0</v>
      </c>
      <c r="W7" s="16"/>
      <c r="X7" s="17">
        <v>0</v>
      </c>
      <c r="Y7" s="16"/>
      <c r="Z7" s="17">
        <v>0</v>
      </c>
    </row>
    <row r="8" spans="1:26" x14ac:dyDescent="0.3">
      <c r="A8" s="2">
        <v>5</v>
      </c>
      <c r="C8" t="s">
        <v>9</v>
      </c>
      <c r="D8" s="9">
        <v>0</v>
      </c>
      <c r="F8" s="9">
        <v>0</v>
      </c>
      <c r="H8" s="11">
        <f t="shared" si="0"/>
        <v>0</v>
      </c>
      <c r="J8" t="s">
        <v>27</v>
      </c>
      <c r="K8" t="s">
        <v>37</v>
      </c>
      <c r="M8" s="9">
        <v>0</v>
      </c>
      <c r="O8" s="14">
        <v>1500000</v>
      </c>
      <c r="Q8" s="11">
        <f t="shared" si="1"/>
        <v>1500000</v>
      </c>
      <c r="S8" t="s">
        <v>47</v>
      </c>
      <c r="T8" t="s">
        <v>66</v>
      </c>
      <c r="V8" s="9">
        <f>SUM(V4:V7)</f>
        <v>2546630</v>
      </c>
      <c r="Z8" s="9">
        <f>SUM(Z4:Z7)</f>
        <v>1046630</v>
      </c>
    </row>
    <row r="9" spans="1:26" ht="15" thickBot="1" x14ac:dyDescent="0.35">
      <c r="A9" s="5">
        <v>6</v>
      </c>
      <c r="B9" s="1"/>
      <c r="C9" s="1" t="s">
        <v>10</v>
      </c>
      <c r="D9" s="8">
        <v>6230</v>
      </c>
      <c r="E9" s="1"/>
      <c r="F9" s="8">
        <v>0</v>
      </c>
      <c r="G9" s="1"/>
      <c r="H9" s="12">
        <f t="shared" si="0"/>
        <v>6230</v>
      </c>
      <c r="J9" t="s">
        <v>30</v>
      </c>
      <c r="K9" t="s">
        <v>38</v>
      </c>
      <c r="M9" s="9">
        <v>1000000</v>
      </c>
      <c r="O9" s="14">
        <v>0</v>
      </c>
      <c r="Q9" s="11">
        <f t="shared" si="1"/>
        <v>1000000</v>
      </c>
      <c r="S9" t="s">
        <v>50</v>
      </c>
      <c r="T9" t="s">
        <v>67</v>
      </c>
      <c r="V9" s="9">
        <v>0</v>
      </c>
      <c r="X9" s="9">
        <v>0</v>
      </c>
    </row>
    <row r="10" spans="1:26" x14ac:dyDescent="0.3">
      <c r="A10" s="2" t="s">
        <v>3</v>
      </c>
      <c r="C10" t="s">
        <v>11</v>
      </c>
      <c r="D10" s="9">
        <f>SUM(D7:D9)</f>
        <v>6230</v>
      </c>
      <c r="F10" s="9">
        <f>SUM(F7:F9)</f>
        <v>0</v>
      </c>
      <c r="H10" s="11">
        <f t="shared" si="0"/>
        <v>6230</v>
      </c>
      <c r="J10" t="s">
        <v>28</v>
      </c>
      <c r="K10" t="s">
        <v>39</v>
      </c>
      <c r="M10" s="9">
        <v>0</v>
      </c>
      <c r="O10" s="14">
        <v>0</v>
      </c>
      <c r="Q10" s="11">
        <f t="shared" si="1"/>
        <v>0</v>
      </c>
      <c r="S10" t="s">
        <v>48</v>
      </c>
      <c r="T10" t="s">
        <v>68</v>
      </c>
      <c r="V10" s="9">
        <v>0</v>
      </c>
      <c r="X10" s="9">
        <v>1500000</v>
      </c>
      <c r="Z10" s="9">
        <f>SUM(V10,X10)</f>
        <v>1500000</v>
      </c>
    </row>
    <row r="11" spans="1:26" ht="15" thickBot="1" x14ac:dyDescent="0.35">
      <c r="A11" s="2" t="s">
        <v>4</v>
      </c>
      <c r="C11" t="s">
        <v>12</v>
      </c>
      <c r="D11" s="9">
        <f>D6-D10</f>
        <v>-6230</v>
      </c>
      <c r="F11" s="9">
        <f>F6-F10</f>
        <v>0</v>
      </c>
      <c r="H11" s="11">
        <f t="shared" si="0"/>
        <v>-6230</v>
      </c>
      <c r="J11" t="s">
        <v>29</v>
      </c>
      <c r="K11" t="s">
        <v>40</v>
      </c>
      <c r="M11" s="9">
        <v>1550000</v>
      </c>
      <c r="O11" s="14">
        <v>0</v>
      </c>
      <c r="Q11" s="11">
        <f t="shared" si="1"/>
        <v>1550000</v>
      </c>
      <c r="S11" s="16" t="s">
        <v>49</v>
      </c>
      <c r="T11" s="16" t="s">
        <v>69</v>
      </c>
      <c r="U11" s="16"/>
      <c r="V11" s="17">
        <v>0</v>
      </c>
      <c r="W11" s="16"/>
      <c r="X11" s="17"/>
      <c r="Y11" s="16"/>
      <c r="Z11" s="17"/>
    </row>
    <row r="12" spans="1:26" x14ac:dyDescent="0.3">
      <c r="A12" s="2">
        <v>9</v>
      </c>
      <c r="C12" t="s">
        <v>13</v>
      </c>
      <c r="D12" s="9">
        <v>0</v>
      </c>
      <c r="F12" s="9">
        <v>0</v>
      </c>
      <c r="H12" s="11">
        <f t="shared" si="0"/>
        <v>0</v>
      </c>
      <c r="J12" t="s">
        <v>31</v>
      </c>
      <c r="K12" t="s">
        <v>41</v>
      </c>
      <c r="M12" s="9">
        <f>M4+M7-M8+M9-M10+M11</f>
        <v>2546630</v>
      </c>
      <c r="O12" s="9">
        <f>O4+O7-O8+O9-O10+O11</f>
        <v>-1500000</v>
      </c>
      <c r="Q12" s="11">
        <f t="shared" si="1"/>
        <v>1046630</v>
      </c>
      <c r="S12" t="s">
        <v>51</v>
      </c>
      <c r="T12" t="s">
        <v>70</v>
      </c>
      <c r="V12" s="20">
        <f>V10-V11</f>
        <v>0</v>
      </c>
      <c r="X12" s="20"/>
      <c r="Z12" s="20">
        <f>Z10-Z11</f>
        <v>1500000</v>
      </c>
    </row>
    <row r="13" spans="1:26" ht="15" thickBot="1" x14ac:dyDescent="0.35">
      <c r="A13" s="2">
        <v>10</v>
      </c>
      <c r="C13" t="s">
        <v>14</v>
      </c>
      <c r="D13" s="9">
        <v>0</v>
      </c>
      <c r="F13" s="9">
        <v>0</v>
      </c>
      <c r="H13" s="11">
        <f t="shared" si="0"/>
        <v>0</v>
      </c>
      <c r="S13" s="18" t="s">
        <v>52</v>
      </c>
      <c r="T13" s="18" t="s">
        <v>71</v>
      </c>
      <c r="U13" s="18"/>
      <c r="V13" s="19">
        <f>V8+V9+V12</f>
        <v>2546630</v>
      </c>
      <c r="W13" s="18"/>
      <c r="X13" s="19"/>
      <c r="Y13" s="18"/>
      <c r="Z13" s="19">
        <f>SUM(V13,X13)</f>
        <v>2546630</v>
      </c>
    </row>
    <row r="14" spans="1:26" ht="15.6" thickTop="1" thickBot="1" x14ac:dyDescent="0.35">
      <c r="A14" s="6" t="s">
        <v>5</v>
      </c>
      <c r="B14" s="7"/>
      <c r="C14" s="7" t="s">
        <v>15</v>
      </c>
      <c r="D14" s="10">
        <f>D11+D12-D13</f>
        <v>-6230</v>
      </c>
      <c r="E14" s="7"/>
      <c r="F14" s="10">
        <f>F11+F12-F13</f>
        <v>0</v>
      </c>
      <c r="G14" s="7"/>
      <c r="H14" s="13">
        <f t="shared" si="0"/>
        <v>-6230</v>
      </c>
      <c r="S14" t="s">
        <v>53</v>
      </c>
      <c r="T14" t="s">
        <v>72</v>
      </c>
      <c r="V14" s="9">
        <v>0</v>
      </c>
      <c r="X14" s="9">
        <v>0</v>
      </c>
      <c r="Z14" s="9">
        <f>SUM(V14,X14)</f>
        <v>0</v>
      </c>
    </row>
    <row r="15" spans="1:26" ht="15" thickTop="1" x14ac:dyDescent="0.3">
      <c r="S15" t="s">
        <v>54</v>
      </c>
      <c r="T15" t="s">
        <v>73</v>
      </c>
      <c r="V15" s="9">
        <v>2860</v>
      </c>
      <c r="X15" s="9">
        <v>0</v>
      </c>
      <c r="Z15" s="9">
        <f t="shared" ref="Z15:Z23" si="2">SUM(V15,X15)</f>
        <v>2860</v>
      </c>
    </row>
    <row r="16" spans="1:26" x14ac:dyDescent="0.3">
      <c r="S16" t="s">
        <v>55</v>
      </c>
      <c r="T16" t="s">
        <v>74</v>
      </c>
      <c r="V16" s="9">
        <v>100000</v>
      </c>
      <c r="X16" s="9">
        <v>0</v>
      </c>
      <c r="Z16" s="9">
        <f t="shared" si="2"/>
        <v>100000</v>
      </c>
    </row>
    <row r="17" spans="1:26" ht="15" thickBot="1" x14ac:dyDescent="0.35">
      <c r="S17" s="16" t="s">
        <v>56</v>
      </c>
      <c r="T17" s="16" t="s">
        <v>75</v>
      </c>
      <c r="U17" s="16"/>
      <c r="V17" s="17">
        <v>0</v>
      </c>
      <c r="W17" s="16"/>
      <c r="X17" s="17">
        <v>0</v>
      </c>
      <c r="Y17" s="16"/>
      <c r="Z17" s="17">
        <f t="shared" si="2"/>
        <v>0</v>
      </c>
    </row>
    <row r="18" spans="1:26" x14ac:dyDescent="0.3">
      <c r="S18" t="s">
        <v>57</v>
      </c>
      <c r="T18" t="s">
        <v>76</v>
      </c>
      <c r="V18" s="9">
        <f>SUM(V14:V17)</f>
        <v>102860</v>
      </c>
      <c r="Z18" s="9">
        <f t="shared" si="2"/>
        <v>102860</v>
      </c>
    </row>
    <row r="19" spans="1:26" x14ac:dyDescent="0.3">
      <c r="S19" t="s">
        <v>58</v>
      </c>
      <c r="T19" t="s">
        <v>77</v>
      </c>
      <c r="V19" s="9">
        <v>900000</v>
      </c>
      <c r="X19" s="9">
        <v>0</v>
      </c>
      <c r="Z19" s="9">
        <f t="shared" si="2"/>
        <v>900000</v>
      </c>
    </row>
    <row r="20" spans="1:26" x14ac:dyDescent="0.3">
      <c r="S20" t="s">
        <v>59</v>
      </c>
      <c r="T20" t="s">
        <v>78</v>
      </c>
      <c r="V20" s="9">
        <v>1550000</v>
      </c>
      <c r="X20" s="9">
        <v>0</v>
      </c>
      <c r="Z20" s="9">
        <f t="shared" si="2"/>
        <v>1550000</v>
      </c>
    </row>
    <row r="21" spans="1:26" ht="15" thickBot="1" x14ac:dyDescent="0.35">
      <c r="S21" s="16" t="s">
        <v>60</v>
      </c>
      <c r="T21" s="16" t="s">
        <v>79</v>
      </c>
      <c r="U21" s="16"/>
      <c r="V21" s="17">
        <v>-6230</v>
      </c>
      <c r="W21" s="16"/>
      <c r="X21" s="17">
        <v>0</v>
      </c>
      <c r="Y21" s="16"/>
      <c r="Z21" s="17">
        <f t="shared" si="2"/>
        <v>-6230</v>
      </c>
    </row>
    <row r="22" spans="1:26" x14ac:dyDescent="0.3">
      <c r="S22" t="s">
        <v>61</v>
      </c>
      <c r="T22" t="s">
        <v>80</v>
      </c>
      <c r="V22" s="9">
        <f>V20+V21</f>
        <v>1543770</v>
      </c>
      <c r="Z22" s="9">
        <f t="shared" si="2"/>
        <v>1543770</v>
      </c>
    </row>
    <row r="23" spans="1:26" ht="15" thickBot="1" x14ac:dyDescent="0.35">
      <c r="S23" s="18" t="s">
        <v>62</v>
      </c>
      <c r="T23" s="18" t="s">
        <v>81</v>
      </c>
      <c r="U23" s="18"/>
      <c r="V23" s="19">
        <f>V18+V19+V22</f>
        <v>2546630</v>
      </c>
      <c r="W23" s="18"/>
      <c r="X23" s="19"/>
      <c r="Y23" s="18"/>
      <c r="Z23" s="19">
        <f t="shared" si="2"/>
        <v>2546630</v>
      </c>
    </row>
    <row r="24" spans="1:26" ht="15" thickTop="1" x14ac:dyDescent="0.3"/>
    <row r="25" spans="1:26" x14ac:dyDescent="0.3">
      <c r="A25" s="27" t="s">
        <v>83</v>
      </c>
      <c r="B25" s="27"/>
      <c r="C25" s="27"/>
      <c r="D25" s="27"/>
      <c r="E25" s="27"/>
      <c r="F25" s="27"/>
    </row>
    <row r="27" spans="1:26" x14ac:dyDescent="0.3">
      <c r="A27" s="26" t="s">
        <v>21</v>
      </c>
      <c r="B27" s="26"/>
      <c r="C27" s="26"/>
      <c r="D27" s="26"/>
      <c r="E27" s="26"/>
      <c r="F27"/>
      <c r="J27" s="26" t="s">
        <v>22</v>
      </c>
      <c r="K27" s="26"/>
      <c r="L27" s="26"/>
      <c r="M27" s="26"/>
      <c r="N27" s="26"/>
      <c r="S27" s="26" t="s">
        <v>0</v>
      </c>
      <c r="T27" s="26"/>
      <c r="U27" s="26"/>
      <c r="V27" s="26"/>
      <c r="W27" s="26"/>
    </row>
    <row r="28" spans="1:26" x14ac:dyDescent="0.3">
      <c r="A28" s="26"/>
      <c r="B28" s="26"/>
      <c r="C28" s="26"/>
      <c r="D28" s="26"/>
      <c r="E28" s="26"/>
      <c r="F28"/>
      <c r="J28" s="26"/>
      <c r="K28" s="26"/>
      <c r="L28" s="26"/>
      <c r="M28" s="26"/>
      <c r="N28" s="26"/>
      <c r="S28" s="26"/>
      <c r="T28" s="26"/>
      <c r="U28" s="26"/>
      <c r="V28" s="26"/>
      <c r="W28" s="26"/>
    </row>
    <row r="29" spans="1:26" ht="15" thickBot="1" x14ac:dyDescent="0.35">
      <c r="A29" s="1" t="s">
        <v>1</v>
      </c>
      <c r="B29" s="1"/>
      <c r="C29" s="1"/>
      <c r="D29" s="8" t="s">
        <v>16</v>
      </c>
      <c r="E29" s="3" t="s">
        <v>17</v>
      </c>
      <c r="F29" s="8" t="s">
        <v>18</v>
      </c>
      <c r="G29" s="4" t="s">
        <v>19</v>
      </c>
      <c r="H29" s="1" t="s">
        <v>20</v>
      </c>
      <c r="J29" s="1" t="s">
        <v>1</v>
      </c>
      <c r="K29" s="1"/>
      <c r="L29" s="1"/>
      <c r="M29" s="8" t="s">
        <v>16</v>
      </c>
      <c r="N29" s="3" t="s">
        <v>17</v>
      </c>
      <c r="O29" s="8" t="s">
        <v>18</v>
      </c>
      <c r="P29" s="4" t="s">
        <v>19</v>
      </c>
      <c r="Q29" s="1" t="s">
        <v>20</v>
      </c>
      <c r="S29" s="1" t="s">
        <v>1</v>
      </c>
      <c r="T29" s="1"/>
      <c r="U29" s="1"/>
      <c r="V29" s="8" t="s">
        <v>16</v>
      </c>
      <c r="W29" s="3" t="s">
        <v>17</v>
      </c>
      <c r="X29" s="8" t="s">
        <v>18</v>
      </c>
      <c r="Y29" s="4" t="s">
        <v>19</v>
      </c>
      <c r="Z29" s="8" t="s">
        <v>20</v>
      </c>
    </row>
    <row r="30" spans="1:26" x14ac:dyDescent="0.3">
      <c r="A30" s="2">
        <v>1</v>
      </c>
      <c r="C30" t="s">
        <v>6</v>
      </c>
      <c r="D30" s="9">
        <v>0</v>
      </c>
      <c r="F30" s="9">
        <v>0</v>
      </c>
      <c r="H30" s="11">
        <f>D30+F30</f>
        <v>0</v>
      </c>
      <c r="J30" t="s">
        <v>23</v>
      </c>
      <c r="K30" t="s">
        <v>32</v>
      </c>
      <c r="M30" s="9">
        <v>0</v>
      </c>
      <c r="O30" s="9">
        <v>0</v>
      </c>
      <c r="Q30" s="11" t="s">
        <v>42</v>
      </c>
      <c r="S30" t="s">
        <v>43</v>
      </c>
      <c r="T30" t="s">
        <v>63</v>
      </c>
      <c r="V30" s="9">
        <v>50000</v>
      </c>
      <c r="X30" s="9">
        <v>1500000</v>
      </c>
      <c r="Z30" s="9">
        <f>V30+X30</f>
        <v>1550000</v>
      </c>
    </row>
    <row r="31" spans="1:26" ht="15" thickBot="1" x14ac:dyDescent="0.35">
      <c r="A31" s="5">
        <v>2</v>
      </c>
      <c r="B31" s="1"/>
      <c r="C31" s="1" t="s">
        <v>33</v>
      </c>
      <c r="D31" s="8">
        <v>0</v>
      </c>
      <c r="E31" s="1"/>
      <c r="F31" s="8">
        <v>0</v>
      </c>
      <c r="G31" s="1"/>
      <c r="H31" s="12">
        <f t="shared" ref="H31:H40" si="3">D31+F31</f>
        <v>0</v>
      </c>
      <c r="J31" t="s">
        <v>24</v>
      </c>
      <c r="K31" t="s">
        <v>34</v>
      </c>
      <c r="M31" s="9">
        <v>0</v>
      </c>
      <c r="O31" s="9">
        <v>0</v>
      </c>
      <c r="Q31" s="11">
        <f t="shared" ref="Q31:Q38" si="4">M31+O31</f>
        <v>0</v>
      </c>
      <c r="S31" t="s">
        <v>46</v>
      </c>
      <c r="T31" t="s">
        <v>64</v>
      </c>
      <c r="V31" s="9">
        <v>0</v>
      </c>
      <c r="X31" s="9">
        <v>0</v>
      </c>
      <c r="Z31" s="9">
        <v>0</v>
      </c>
    </row>
    <row r="32" spans="1:26" ht="15" thickBot="1" x14ac:dyDescent="0.35">
      <c r="A32" s="2" t="s">
        <v>2</v>
      </c>
      <c r="C32" t="s">
        <v>7</v>
      </c>
      <c r="D32" s="9">
        <v>0</v>
      </c>
      <c r="F32" s="9">
        <v>0</v>
      </c>
      <c r="H32" s="11">
        <f t="shared" si="3"/>
        <v>0</v>
      </c>
      <c r="J32" s="1" t="s">
        <v>25</v>
      </c>
      <c r="K32" s="1" t="s">
        <v>35</v>
      </c>
      <c r="L32" s="1"/>
      <c r="M32" s="8">
        <v>0</v>
      </c>
      <c r="N32" s="1"/>
      <c r="O32" s="8">
        <v>0</v>
      </c>
      <c r="P32" s="1"/>
      <c r="Q32" s="11">
        <f t="shared" si="4"/>
        <v>0</v>
      </c>
      <c r="S32" t="s">
        <v>44</v>
      </c>
      <c r="T32" t="s">
        <v>65</v>
      </c>
      <c r="V32" s="9">
        <v>0</v>
      </c>
      <c r="X32" s="9">
        <v>0</v>
      </c>
      <c r="Z32" s="9">
        <v>0</v>
      </c>
    </row>
    <row r="33" spans="1:26" ht="15" thickBot="1" x14ac:dyDescent="0.35">
      <c r="A33" s="2">
        <v>4</v>
      </c>
      <c r="C33" t="s">
        <v>8</v>
      </c>
      <c r="D33" s="9">
        <v>0</v>
      </c>
      <c r="F33" s="9">
        <v>0</v>
      </c>
      <c r="H33" s="11">
        <f t="shared" si="3"/>
        <v>0</v>
      </c>
      <c r="J33" t="s">
        <v>26</v>
      </c>
      <c r="K33" t="s">
        <v>36</v>
      </c>
      <c r="M33" s="9">
        <f>M31-M32</f>
        <v>0</v>
      </c>
      <c r="O33" s="14">
        <v>0</v>
      </c>
      <c r="Q33" s="11">
        <f t="shared" si="4"/>
        <v>0</v>
      </c>
      <c r="S33" s="16" t="s">
        <v>45</v>
      </c>
      <c r="T33" s="16" t="s">
        <v>82</v>
      </c>
      <c r="U33" s="16"/>
      <c r="V33" s="17">
        <v>0</v>
      </c>
      <c r="W33" s="16"/>
      <c r="X33" s="17">
        <v>0</v>
      </c>
      <c r="Y33" s="16"/>
      <c r="Z33" s="17">
        <v>0</v>
      </c>
    </row>
    <row r="34" spans="1:26" x14ac:dyDescent="0.3">
      <c r="A34" s="2">
        <v>5</v>
      </c>
      <c r="C34" t="s">
        <v>9</v>
      </c>
      <c r="D34" s="9">
        <v>0</v>
      </c>
      <c r="F34" s="9">
        <v>0</v>
      </c>
      <c r="H34" s="11">
        <f t="shared" si="3"/>
        <v>0</v>
      </c>
      <c r="J34" t="s">
        <v>27</v>
      </c>
      <c r="K34" t="s">
        <v>37</v>
      </c>
      <c r="M34" s="9">
        <v>0</v>
      </c>
      <c r="O34" s="14">
        <v>0</v>
      </c>
      <c r="Q34" s="11">
        <f t="shared" si="4"/>
        <v>0</v>
      </c>
      <c r="S34" t="s">
        <v>47</v>
      </c>
      <c r="T34" t="s">
        <v>66</v>
      </c>
      <c r="V34" s="9">
        <f>SUM(V30:V33)</f>
        <v>50000</v>
      </c>
      <c r="X34" s="9">
        <f>SUM(X30:X33)</f>
        <v>1500000</v>
      </c>
      <c r="Z34" s="9">
        <f>SUM(Z30:Z33)</f>
        <v>1550000</v>
      </c>
    </row>
    <row r="35" spans="1:26" ht="15" thickBot="1" x14ac:dyDescent="0.35">
      <c r="A35" s="5">
        <v>6</v>
      </c>
      <c r="B35" s="1"/>
      <c r="C35" s="1" t="s">
        <v>10</v>
      </c>
      <c r="D35" s="8">
        <v>0</v>
      </c>
      <c r="E35" s="1"/>
      <c r="F35" s="8">
        <v>0</v>
      </c>
      <c r="G35" s="1"/>
      <c r="H35" s="12">
        <f t="shared" si="3"/>
        <v>0</v>
      </c>
      <c r="J35" t="s">
        <v>30</v>
      </c>
      <c r="K35" t="s">
        <v>38</v>
      </c>
      <c r="M35" s="9">
        <v>0</v>
      </c>
      <c r="O35" s="14">
        <v>0</v>
      </c>
      <c r="Q35" s="11">
        <f t="shared" si="4"/>
        <v>0</v>
      </c>
      <c r="S35" t="s">
        <v>50</v>
      </c>
      <c r="T35" t="s">
        <v>67</v>
      </c>
      <c r="V35" s="9">
        <v>0</v>
      </c>
      <c r="X35" s="9">
        <v>0</v>
      </c>
    </row>
    <row r="36" spans="1:26" x14ac:dyDescent="0.3">
      <c r="A36" s="2" t="s">
        <v>3</v>
      </c>
      <c r="C36" t="s">
        <v>11</v>
      </c>
      <c r="D36" s="9">
        <f>SUM(D33:D35)</f>
        <v>0</v>
      </c>
      <c r="F36" s="9">
        <f>SUM(F33:F35)</f>
        <v>0</v>
      </c>
      <c r="H36" s="11">
        <f t="shared" si="3"/>
        <v>0</v>
      </c>
      <c r="J36" t="s">
        <v>28</v>
      </c>
      <c r="K36" t="s">
        <v>39</v>
      </c>
      <c r="M36" s="9">
        <v>0</v>
      </c>
      <c r="O36" s="14">
        <v>0</v>
      </c>
      <c r="Q36" s="11">
        <f t="shared" si="4"/>
        <v>0</v>
      </c>
      <c r="S36" t="s">
        <v>48</v>
      </c>
      <c r="T36" t="s">
        <v>68</v>
      </c>
      <c r="V36" s="9">
        <v>0</v>
      </c>
      <c r="X36" s="9">
        <v>0</v>
      </c>
      <c r="Z36" s="9">
        <f>SUM(V36,X36)</f>
        <v>0</v>
      </c>
    </row>
    <row r="37" spans="1:26" ht="15" thickBot="1" x14ac:dyDescent="0.35">
      <c r="A37" s="2" t="s">
        <v>4</v>
      </c>
      <c r="C37" t="s">
        <v>12</v>
      </c>
      <c r="D37" s="9">
        <f>D32-D36</f>
        <v>0</v>
      </c>
      <c r="F37" s="9">
        <f>F32-F36</f>
        <v>0</v>
      </c>
      <c r="H37" s="11">
        <f t="shared" si="3"/>
        <v>0</v>
      </c>
      <c r="J37" t="s">
        <v>29</v>
      </c>
      <c r="K37" t="s">
        <v>40</v>
      </c>
      <c r="M37" s="9">
        <v>50000</v>
      </c>
      <c r="O37" s="14">
        <v>1500000</v>
      </c>
      <c r="Q37" s="11">
        <f t="shared" si="4"/>
        <v>1550000</v>
      </c>
      <c r="S37" s="16" t="s">
        <v>49</v>
      </c>
      <c r="T37" s="16" t="s">
        <v>69</v>
      </c>
      <c r="U37" s="16"/>
      <c r="V37" s="17">
        <v>0</v>
      </c>
      <c r="W37" s="16"/>
      <c r="X37" s="17"/>
      <c r="Y37" s="16"/>
      <c r="Z37" s="17"/>
    </row>
    <row r="38" spans="1:26" x14ac:dyDescent="0.3">
      <c r="A38" s="2">
        <v>9</v>
      </c>
      <c r="C38" t="s">
        <v>13</v>
      </c>
      <c r="D38" s="9">
        <v>0</v>
      </c>
      <c r="F38" s="9">
        <v>0</v>
      </c>
      <c r="H38" s="11">
        <f t="shared" si="3"/>
        <v>0</v>
      </c>
      <c r="J38" t="s">
        <v>31</v>
      </c>
      <c r="K38" t="s">
        <v>41</v>
      </c>
      <c r="M38" s="9">
        <f>M30+M33-M34+M35-M36+M37</f>
        <v>50000</v>
      </c>
      <c r="O38" s="9">
        <f>O30+O33-O34+O35-O36+O37</f>
        <v>1500000</v>
      </c>
      <c r="Q38" s="11">
        <f t="shared" si="4"/>
        <v>1550000</v>
      </c>
      <c r="S38" t="s">
        <v>51</v>
      </c>
      <c r="T38" t="s">
        <v>70</v>
      </c>
      <c r="V38" s="20">
        <f>V36-V37</f>
        <v>0</v>
      </c>
      <c r="X38" s="20"/>
      <c r="Z38" s="20">
        <f>Z36-Z37</f>
        <v>0</v>
      </c>
    </row>
    <row r="39" spans="1:26" ht="15" thickBot="1" x14ac:dyDescent="0.35">
      <c r="A39" s="2">
        <v>10</v>
      </c>
      <c r="C39" t="s">
        <v>14</v>
      </c>
      <c r="D39" s="9">
        <v>0</v>
      </c>
      <c r="F39" s="9">
        <v>0</v>
      </c>
      <c r="H39" s="11">
        <f t="shared" si="3"/>
        <v>0</v>
      </c>
      <c r="S39" s="18" t="s">
        <v>52</v>
      </c>
      <c r="T39" s="18" t="s">
        <v>71</v>
      </c>
      <c r="U39" s="18"/>
      <c r="V39" s="19">
        <f>V34+V35+V38</f>
        <v>50000</v>
      </c>
      <c r="W39" s="19"/>
      <c r="X39" s="19">
        <f>X34+X35+X38</f>
        <v>1500000</v>
      </c>
      <c r="Y39" s="18"/>
      <c r="Z39" s="19">
        <f>SUM(V39,X39)</f>
        <v>1550000</v>
      </c>
    </row>
    <row r="40" spans="1:26" ht="15.6" thickTop="1" thickBot="1" x14ac:dyDescent="0.35">
      <c r="A40" s="6" t="s">
        <v>5</v>
      </c>
      <c r="B40" s="7"/>
      <c r="C40" s="7" t="s">
        <v>15</v>
      </c>
      <c r="D40" s="10">
        <f>D37+D38-D39</f>
        <v>0</v>
      </c>
      <c r="E40" s="7"/>
      <c r="F40" s="10">
        <f>F37+F38-F39</f>
        <v>0</v>
      </c>
      <c r="G40" s="7"/>
      <c r="H40" s="13">
        <f t="shared" si="3"/>
        <v>0</v>
      </c>
      <c r="S40" t="s">
        <v>53</v>
      </c>
      <c r="T40" t="s">
        <v>72</v>
      </c>
      <c r="V40" s="9">
        <v>0</v>
      </c>
      <c r="X40" s="9">
        <v>0</v>
      </c>
      <c r="Z40" s="9">
        <f>SUM(V40,X40)</f>
        <v>0</v>
      </c>
    </row>
    <row r="41" spans="1:26" ht="15" thickTop="1" x14ac:dyDescent="0.3">
      <c r="S41" t="s">
        <v>54</v>
      </c>
      <c r="T41" t="s">
        <v>73</v>
      </c>
      <c r="V41" s="9">
        <v>0</v>
      </c>
      <c r="X41" s="9">
        <v>0</v>
      </c>
      <c r="Z41" s="9">
        <f t="shared" ref="Z41:Z49" si="5">SUM(V41,X41)</f>
        <v>0</v>
      </c>
    </row>
    <row r="42" spans="1:26" x14ac:dyDescent="0.3">
      <c r="S42" t="s">
        <v>55</v>
      </c>
      <c r="T42" t="s">
        <v>74</v>
      </c>
      <c r="V42" s="9">
        <v>0</v>
      </c>
      <c r="X42" s="9">
        <v>0</v>
      </c>
      <c r="Z42" s="9">
        <f t="shared" si="5"/>
        <v>0</v>
      </c>
    </row>
    <row r="43" spans="1:26" ht="15" thickBot="1" x14ac:dyDescent="0.35">
      <c r="S43" s="16" t="s">
        <v>56</v>
      </c>
      <c r="T43" s="16" t="s">
        <v>75</v>
      </c>
      <c r="U43" s="16"/>
      <c r="V43" s="17">
        <v>0</v>
      </c>
      <c r="W43" s="16"/>
      <c r="X43" s="17">
        <v>0</v>
      </c>
      <c r="Y43" s="16"/>
      <c r="Z43" s="17">
        <f t="shared" si="5"/>
        <v>0</v>
      </c>
    </row>
    <row r="44" spans="1:26" x14ac:dyDescent="0.3">
      <c r="S44" t="s">
        <v>57</v>
      </c>
      <c r="T44" t="s">
        <v>76</v>
      </c>
      <c r="V44" s="9">
        <v>0</v>
      </c>
      <c r="Z44" s="9">
        <f t="shared" si="5"/>
        <v>0</v>
      </c>
    </row>
    <row r="45" spans="1:26" x14ac:dyDescent="0.3">
      <c r="S45" t="s">
        <v>58</v>
      </c>
      <c r="T45" t="s">
        <v>77</v>
      </c>
      <c r="V45" s="9">
        <v>0</v>
      </c>
      <c r="X45" s="9">
        <v>0</v>
      </c>
      <c r="Z45" s="9">
        <f t="shared" si="5"/>
        <v>0</v>
      </c>
    </row>
    <row r="46" spans="1:26" x14ac:dyDescent="0.3">
      <c r="S46" t="s">
        <v>59</v>
      </c>
      <c r="T46" t="s">
        <v>78</v>
      </c>
      <c r="V46" s="9">
        <v>50000</v>
      </c>
      <c r="X46" s="9">
        <v>1500000</v>
      </c>
      <c r="Z46" s="9">
        <f t="shared" si="5"/>
        <v>1550000</v>
      </c>
    </row>
    <row r="47" spans="1:26" ht="15" thickBot="1" x14ac:dyDescent="0.35">
      <c r="S47" s="16" t="s">
        <v>60</v>
      </c>
      <c r="T47" s="16" t="s">
        <v>79</v>
      </c>
      <c r="U47" s="16"/>
      <c r="V47" s="17">
        <v>0</v>
      </c>
      <c r="W47" s="16"/>
      <c r="X47" s="17">
        <v>0</v>
      </c>
      <c r="Y47" s="16"/>
      <c r="Z47" s="17">
        <f t="shared" si="5"/>
        <v>0</v>
      </c>
    </row>
    <row r="48" spans="1:26" x14ac:dyDescent="0.3">
      <c r="S48" t="s">
        <v>61</v>
      </c>
      <c r="T48" t="s">
        <v>80</v>
      </c>
      <c r="V48" s="9">
        <f>V46+V47</f>
        <v>50000</v>
      </c>
      <c r="X48" s="21">
        <f>X46+X47</f>
        <v>1500000</v>
      </c>
      <c r="Z48" s="9">
        <f>SUM(V48,X48)</f>
        <v>1550000</v>
      </c>
    </row>
    <row r="49" spans="1:26" ht="15" thickBot="1" x14ac:dyDescent="0.35">
      <c r="A49" s="27" t="s">
        <v>84</v>
      </c>
      <c r="B49" s="27"/>
      <c r="C49" s="27"/>
      <c r="D49" s="27"/>
      <c r="E49" s="27"/>
      <c r="F49" s="27"/>
      <c r="G49" s="27"/>
      <c r="H49" s="27"/>
      <c r="I49" s="27"/>
      <c r="S49" s="18" t="s">
        <v>62</v>
      </c>
      <c r="T49" s="18" t="s">
        <v>81</v>
      </c>
      <c r="U49" s="18"/>
      <c r="V49" s="19">
        <f>V44+V45+V48</f>
        <v>50000</v>
      </c>
      <c r="W49" s="19"/>
      <c r="X49" s="19">
        <f>X44+X45+X48</f>
        <v>1500000</v>
      </c>
      <c r="Y49" s="18"/>
      <c r="Z49" s="19">
        <f t="shared" si="5"/>
        <v>1550000</v>
      </c>
    </row>
    <row r="50" spans="1:26" ht="15" thickTop="1" x14ac:dyDescent="0.3">
      <c r="A50" s="26" t="s">
        <v>21</v>
      </c>
      <c r="B50" s="26"/>
      <c r="C50" s="26"/>
      <c r="D50" s="26"/>
      <c r="E50" s="26"/>
      <c r="F50"/>
      <c r="J50" s="26" t="s">
        <v>22</v>
      </c>
      <c r="K50" s="26"/>
      <c r="L50" s="26"/>
      <c r="M50" s="26"/>
      <c r="N50" s="26"/>
    </row>
    <row r="51" spans="1:26" x14ac:dyDescent="0.3">
      <c r="A51" s="26"/>
      <c r="B51" s="26"/>
      <c r="C51" s="26"/>
      <c r="D51" s="26"/>
      <c r="E51" s="26"/>
      <c r="F51"/>
      <c r="J51" s="26"/>
      <c r="K51" s="26"/>
      <c r="L51" s="26"/>
      <c r="M51" s="26"/>
      <c r="N51" s="26"/>
    </row>
    <row r="52" spans="1:26" ht="15" thickBot="1" x14ac:dyDescent="0.35">
      <c r="A52" s="1" t="s">
        <v>1</v>
      </c>
      <c r="B52" s="1"/>
      <c r="C52" s="1"/>
      <c r="D52" s="8" t="s">
        <v>16</v>
      </c>
      <c r="E52" s="3" t="s">
        <v>17</v>
      </c>
      <c r="F52" s="8" t="s">
        <v>18</v>
      </c>
      <c r="G52" s="4" t="s">
        <v>19</v>
      </c>
      <c r="H52" s="1" t="s">
        <v>20</v>
      </c>
      <c r="J52" s="1" t="s">
        <v>1</v>
      </c>
      <c r="K52" s="1"/>
      <c r="L52" s="1"/>
      <c r="M52" s="8" t="s">
        <v>16</v>
      </c>
      <c r="N52" s="3" t="s">
        <v>17</v>
      </c>
      <c r="O52" s="8" t="s">
        <v>18</v>
      </c>
      <c r="P52" s="4" t="s">
        <v>19</v>
      </c>
      <c r="Q52" s="1" t="s">
        <v>20</v>
      </c>
      <c r="S52" s="26" t="s">
        <v>0</v>
      </c>
      <c r="T52" s="26"/>
      <c r="U52" s="26"/>
      <c r="V52" s="26"/>
      <c r="W52" s="26"/>
    </row>
    <row r="53" spans="1:26" x14ac:dyDescent="0.3">
      <c r="A53" s="2">
        <v>1</v>
      </c>
      <c r="C53" t="s">
        <v>6</v>
      </c>
      <c r="D53" s="9">
        <v>0</v>
      </c>
      <c r="F53" s="9">
        <v>0</v>
      </c>
      <c r="H53" s="11">
        <f>D53+F53</f>
        <v>0</v>
      </c>
      <c r="J53" t="s">
        <v>23</v>
      </c>
      <c r="K53" t="s">
        <v>32</v>
      </c>
      <c r="M53" s="9">
        <v>0</v>
      </c>
      <c r="O53" s="9">
        <v>0</v>
      </c>
      <c r="Q53" s="11">
        <v>0</v>
      </c>
      <c r="S53" s="26"/>
      <c r="T53" s="26"/>
      <c r="U53" s="26"/>
      <c r="V53" s="26"/>
      <c r="W53" s="26"/>
    </row>
    <row r="54" spans="1:26" ht="15" thickBot="1" x14ac:dyDescent="0.35">
      <c r="A54" s="5">
        <v>2</v>
      </c>
      <c r="B54" s="1"/>
      <c r="C54" s="1" t="s">
        <v>33</v>
      </c>
      <c r="D54" s="8">
        <v>0</v>
      </c>
      <c r="E54" s="1"/>
      <c r="F54" s="8">
        <v>0</v>
      </c>
      <c r="G54" s="1"/>
      <c r="H54" s="12">
        <f t="shared" ref="H54:H63" si="6">D54+F54</f>
        <v>0</v>
      </c>
      <c r="J54" t="s">
        <v>24</v>
      </c>
      <c r="K54" t="s">
        <v>34</v>
      </c>
      <c r="M54" s="9">
        <v>0</v>
      </c>
      <c r="O54" s="9">
        <v>0</v>
      </c>
      <c r="Q54" s="11">
        <f t="shared" ref="Q54:Q60" si="7">M54+O54</f>
        <v>0</v>
      </c>
      <c r="S54" s="1" t="s">
        <v>1</v>
      </c>
      <c r="T54" s="1"/>
      <c r="U54" s="1"/>
      <c r="V54" s="8" t="s">
        <v>16</v>
      </c>
      <c r="W54" s="3" t="s">
        <v>17</v>
      </c>
      <c r="X54" s="8" t="s">
        <v>18</v>
      </c>
      <c r="Y54" s="4" t="s">
        <v>19</v>
      </c>
      <c r="Z54" s="8" t="s">
        <v>20</v>
      </c>
    </row>
    <row r="55" spans="1:26" ht="15" thickBot="1" x14ac:dyDescent="0.35">
      <c r="A55" s="2" t="s">
        <v>2</v>
      </c>
      <c r="C55" t="s">
        <v>7</v>
      </c>
      <c r="D55" s="9">
        <v>0</v>
      </c>
      <c r="F55" s="9">
        <v>0</v>
      </c>
      <c r="H55" s="11">
        <f t="shared" si="6"/>
        <v>0</v>
      </c>
      <c r="J55" s="1" t="s">
        <v>25</v>
      </c>
      <c r="K55" s="1" t="s">
        <v>35</v>
      </c>
      <c r="L55" s="1"/>
      <c r="M55" s="8">
        <v>0</v>
      </c>
      <c r="N55" s="1"/>
      <c r="O55" s="8">
        <v>3370</v>
      </c>
      <c r="P55" s="1"/>
      <c r="Q55" s="22">
        <f t="shared" si="7"/>
        <v>3370</v>
      </c>
      <c r="S55" t="s">
        <v>43</v>
      </c>
      <c r="T55" t="s">
        <v>63</v>
      </c>
      <c r="V55" s="9">
        <v>1550000</v>
      </c>
      <c r="X55" s="9">
        <v>-3370</v>
      </c>
      <c r="Z55" s="9">
        <f>V55+X55</f>
        <v>1546630</v>
      </c>
    </row>
    <row r="56" spans="1:26" x14ac:dyDescent="0.3">
      <c r="A56" s="2">
        <v>4</v>
      </c>
      <c r="C56" t="s">
        <v>8</v>
      </c>
      <c r="D56" s="9">
        <v>0</v>
      </c>
      <c r="F56" s="9">
        <v>0</v>
      </c>
      <c r="H56" s="11">
        <f t="shared" si="6"/>
        <v>0</v>
      </c>
      <c r="J56" t="s">
        <v>26</v>
      </c>
      <c r="K56" t="s">
        <v>36</v>
      </c>
      <c r="M56" s="9">
        <f>M54-M55</f>
        <v>0</v>
      </c>
      <c r="O56" s="14">
        <v>0</v>
      </c>
      <c r="Q56" s="11">
        <f>Q54-Q55</f>
        <v>-3370</v>
      </c>
      <c r="S56" t="s">
        <v>46</v>
      </c>
      <c r="T56" t="s">
        <v>64</v>
      </c>
      <c r="V56" s="9">
        <v>0</v>
      </c>
      <c r="X56" s="9">
        <v>0</v>
      </c>
      <c r="Z56" s="9">
        <v>0</v>
      </c>
    </row>
    <row r="57" spans="1:26" x14ac:dyDescent="0.3">
      <c r="A57" s="2">
        <v>5</v>
      </c>
      <c r="C57" t="s">
        <v>9</v>
      </c>
      <c r="D57" s="9">
        <v>0</v>
      </c>
      <c r="F57" s="9">
        <v>0</v>
      </c>
      <c r="H57" s="11">
        <f t="shared" si="6"/>
        <v>0</v>
      </c>
      <c r="J57" t="s">
        <v>27</v>
      </c>
      <c r="K57" t="s">
        <v>37</v>
      </c>
      <c r="M57" s="9">
        <v>0</v>
      </c>
      <c r="O57" s="14">
        <v>0</v>
      </c>
      <c r="Q57" s="11">
        <f t="shared" si="7"/>
        <v>0</v>
      </c>
      <c r="S57" t="s">
        <v>44</v>
      </c>
      <c r="T57" t="s">
        <v>65</v>
      </c>
      <c r="V57" s="9">
        <v>0</v>
      </c>
      <c r="X57" s="9">
        <v>0</v>
      </c>
      <c r="Z57" s="9">
        <v>0</v>
      </c>
    </row>
    <row r="58" spans="1:26" ht="15" thickBot="1" x14ac:dyDescent="0.35">
      <c r="A58" s="5">
        <v>6</v>
      </c>
      <c r="B58" s="1"/>
      <c r="C58" s="1" t="s">
        <v>10</v>
      </c>
      <c r="D58" s="8">
        <v>0</v>
      </c>
      <c r="E58" s="1"/>
      <c r="F58" s="8">
        <v>6230</v>
      </c>
      <c r="G58" s="1"/>
      <c r="H58" s="12">
        <f t="shared" si="6"/>
        <v>6230</v>
      </c>
      <c r="J58" t="s">
        <v>30</v>
      </c>
      <c r="K58" t="s">
        <v>38</v>
      </c>
      <c r="M58" s="9">
        <v>0</v>
      </c>
      <c r="O58" s="14">
        <v>0</v>
      </c>
      <c r="Q58" s="11">
        <f t="shared" si="7"/>
        <v>0</v>
      </c>
      <c r="S58" s="16" t="s">
        <v>45</v>
      </c>
      <c r="T58" s="16" t="s">
        <v>82</v>
      </c>
      <c r="U58" s="16"/>
      <c r="V58" s="17">
        <v>0</v>
      </c>
      <c r="W58" s="16"/>
      <c r="X58" s="17">
        <v>0</v>
      </c>
      <c r="Y58" s="16"/>
      <c r="Z58" s="17">
        <v>0</v>
      </c>
    </row>
    <row r="59" spans="1:26" x14ac:dyDescent="0.3">
      <c r="A59" s="2" t="s">
        <v>3</v>
      </c>
      <c r="C59" t="s">
        <v>11</v>
      </c>
      <c r="D59" s="9">
        <f>SUM(D56:D58)</f>
        <v>0</v>
      </c>
      <c r="F59" s="9">
        <f>SUM(F56:F58)</f>
        <v>6230</v>
      </c>
      <c r="H59" s="11">
        <f t="shared" si="6"/>
        <v>6230</v>
      </c>
      <c r="J59" t="s">
        <v>28</v>
      </c>
      <c r="K59" t="s">
        <v>39</v>
      </c>
      <c r="M59" s="9">
        <v>0</v>
      </c>
      <c r="O59" s="14">
        <v>0</v>
      </c>
      <c r="Q59" s="11">
        <f t="shared" si="7"/>
        <v>0</v>
      </c>
      <c r="S59" t="s">
        <v>47</v>
      </c>
      <c r="T59" t="s">
        <v>66</v>
      </c>
      <c r="V59" s="9">
        <f>SUM(V55:V58)</f>
        <v>1550000</v>
      </c>
      <c r="X59" s="9">
        <f>SUM(X55:X58)</f>
        <v>-3370</v>
      </c>
      <c r="Z59" s="9">
        <f>SUM(Z55:Z58)</f>
        <v>1546630</v>
      </c>
    </row>
    <row r="60" spans="1:26" x14ac:dyDescent="0.3">
      <c r="A60" s="2" t="s">
        <v>4</v>
      </c>
      <c r="C60" t="s">
        <v>12</v>
      </c>
      <c r="D60" s="9">
        <f>D55-D59</f>
        <v>0</v>
      </c>
      <c r="F60" s="9">
        <f>F55-F59</f>
        <v>-6230</v>
      </c>
      <c r="H60" s="11">
        <f t="shared" si="6"/>
        <v>-6230</v>
      </c>
      <c r="J60" t="s">
        <v>29</v>
      </c>
      <c r="K60" t="s">
        <v>40</v>
      </c>
      <c r="M60" s="9">
        <v>1550000</v>
      </c>
      <c r="O60" s="14">
        <v>0</v>
      </c>
      <c r="Q60" s="11">
        <f t="shared" si="7"/>
        <v>1550000</v>
      </c>
      <c r="S60" t="s">
        <v>50</v>
      </c>
      <c r="T60" t="s">
        <v>67</v>
      </c>
      <c r="V60" s="9">
        <v>0</v>
      </c>
      <c r="X60" s="9">
        <v>0</v>
      </c>
    </row>
    <row r="61" spans="1:26" x14ac:dyDescent="0.3">
      <c r="A61" s="2">
        <v>9</v>
      </c>
      <c r="C61" t="s">
        <v>13</v>
      </c>
      <c r="D61" s="9">
        <v>0</v>
      </c>
      <c r="F61" s="9">
        <v>0</v>
      </c>
      <c r="H61" s="11">
        <f t="shared" si="6"/>
        <v>0</v>
      </c>
      <c r="J61" t="s">
        <v>31</v>
      </c>
      <c r="K61" t="s">
        <v>41</v>
      </c>
      <c r="M61" s="9">
        <f>M53+M56-M57+M58-M59+M60</f>
        <v>1550000</v>
      </c>
      <c r="O61" s="9">
        <f>O53+O56-O57+O58-O59+O60</f>
        <v>0</v>
      </c>
      <c r="Q61" s="11">
        <f>Q53+Q56-Q57+Q58-Q59+Q60</f>
        <v>1546630</v>
      </c>
      <c r="S61" t="s">
        <v>48</v>
      </c>
      <c r="T61" t="s">
        <v>68</v>
      </c>
      <c r="V61" s="9">
        <v>0</v>
      </c>
      <c r="X61" s="9">
        <v>0</v>
      </c>
      <c r="Z61" s="9">
        <f>SUM(V61,X61)</f>
        <v>0</v>
      </c>
    </row>
    <row r="62" spans="1:26" ht="15" thickBot="1" x14ac:dyDescent="0.35">
      <c r="A62" s="2">
        <v>10</v>
      </c>
      <c r="C62" t="s">
        <v>14</v>
      </c>
      <c r="D62" s="9">
        <v>0</v>
      </c>
      <c r="F62" s="9">
        <v>0</v>
      </c>
      <c r="H62" s="11">
        <f t="shared" si="6"/>
        <v>0</v>
      </c>
      <c r="S62" s="16" t="s">
        <v>49</v>
      </c>
      <c r="T62" s="16" t="s">
        <v>69</v>
      </c>
      <c r="U62" s="16"/>
      <c r="V62" s="17">
        <v>0</v>
      </c>
      <c r="W62" s="16"/>
      <c r="X62" s="17"/>
      <c r="Y62" s="16"/>
      <c r="Z62" s="17"/>
    </row>
    <row r="63" spans="1:26" ht="15" thickBot="1" x14ac:dyDescent="0.35">
      <c r="A63" s="6" t="s">
        <v>5</v>
      </c>
      <c r="B63" s="7"/>
      <c r="C63" s="7" t="s">
        <v>15</v>
      </c>
      <c r="D63" s="10">
        <f>D60+D61-D62</f>
        <v>0</v>
      </c>
      <c r="E63" s="7"/>
      <c r="F63" s="10">
        <f>F60+F61-F62</f>
        <v>-6230</v>
      </c>
      <c r="G63" s="7"/>
      <c r="H63" s="13">
        <f t="shared" si="6"/>
        <v>-6230</v>
      </c>
      <c r="S63" t="s">
        <v>51</v>
      </c>
      <c r="T63" t="s">
        <v>70</v>
      </c>
      <c r="V63" s="20">
        <f>V61-V62</f>
        <v>0</v>
      </c>
      <c r="X63" s="20"/>
      <c r="Z63" s="20">
        <f>Z61-Z62</f>
        <v>0</v>
      </c>
    </row>
    <row r="64" spans="1:26" ht="15.6" thickTop="1" thickBot="1" x14ac:dyDescent="0.35">
      <c r="S64" s="18" t="s">
        <v>52</v>
      </c>
      <c r="T64" s="18" t="s">
        <v>71</v>
      </c>
      <c r="U64" s="18"/>
      <c r="V64" s="19">
        <f>V59+V60+V63</f>
        <v>1550000</v>
      </c>
      <c r="W64" s="19"/>
      <c r="X64" s="19">
        <f>X59+X60+X63</f>
        <v>-3370</v>
      </c>
      <c r="Y64" s="18"/>
      <c r="Z64" s="19">
        <f>SUM(V64,X64)</f>
        <v>1546630</v>
      </c>
    </row>
    <row r="65" spans="1:26" ht="15" thickTop="1" x14ac:dyDescent="0.3">
      <c r="S65" t="s">
        <v>53</v>
      </c>
      <c r="T65" t="s">
        <v>72</v>
      </c>
      <c r="V65" s="9">
        <v>0</v>
      </c>
      <c r="X65" s="9">
        <v>0</v>
      </c>
      <c r="Z65" s="9">
        <f>SUM(V65,X65)</f>
        <v>0</v>
      </c>
    </row>
    <row r="66" spans="1:26" x14ac:dyDescent="0.3">
      <c r="S66" t="s">
        <v>54</v>
      </c>
      <c r="T66" t="s">
        <v>73</v>
      </c>
      <c r="V66" s="9">
        <v>0</v>
      </c>
      <c r="X66" s="9">
        <v>2860</v>
      </c>
      <c r="Z66" s="9">
        <f t="shared" ref="Z66:Z72" si="8">SUM(V66,X66)</f>
        <v>2860</v>
      </c>
    </row>
    <row r="67" spans="1:26" x14ac:dyDescent="0.3">
      <c r="S67" t="s">
        <v>55</v>
      </c>
      <c r="T67" t="s">
        <v>74</v>
      </c>
      <c r="V67" s="9">
        <v>0</v>
      </c>
      <c r="X67" s="9">
        <v>0</v>
      </c>
      <c r="Z67" s="9">
        <f t="shared" si="8"/>
        <v>0</v>
      </c>
    </row>
    <row r="68" spans="1:26" ht="15" thickBot="1" x14ac:dyDescent="0.35">
      <c r="S68" s="16" t="s">
        <v>56</v>
      </c>
      <c r="T68" s="16" t="s">
        <v>75</v>
      </c>
      <c r="U68" s="16"/>
      <c r="V68" s="17">
        <v>0</v>
      </c>
      <c r="W68" s="16"/>
      <c r="X68" s="17">
        <v>0</v>
      </c>
      <c r="Y68" s="16"/>
      <c r="Z68" s="17">
        <f t="shared" si="8"/>
        <v>0</v>
      </c>
    </row>
    <row r="69" spans="1:26" x14ac:dyDescent="0.3">
      <c r="S69" t="s">
        <v>57</v>
      </c>
      <c r="T69" t="s">
        <v>76</v>
      </c>
      <c r="V69" s="9">
        <v>0</v>
      </c>
      <c r="X69" s="9">
        <f>SUM(X65:X68)</f>
        <v>2860</v>
      </c>
      <c r="Z69" s="9">
        <f>SUM(Z65:Z68)</f>
        <v>2860</v>
      </c>
    </row>
    <row r="70" spans="1:26" x14ac:dyDescent="0.3">
      <c r="S70" t="s">
        <v>58</v>
      </c>
      <c r="T70" t="s">
        <v>77</v>
      </c>
      <c r="V70" s="9">
        <v>0</v>
      </c>
      <c r="X70" s="9">
        <v>0</v>
      </c>
      <c r="Z70" s="9">
        <f t="shared" si="8"/>
        <v>0</v>
      </c>
    </row>
    <row r="71" spans="1:26" x14ac:dyDescent="0.3">
      <c r="S71" t="s">
        <v>59</v>
      </c>
      <c r="T71" t="s">
        <v>78</v>
      </c>
      <c r="V71" s="9">
        <v>1550000</v>
      </c>
      <c r="X71" s="9">
        <v>0</v>
      </c>
      <c r="Z71" s="9">
        <f t="shared" si="8"/>
        <v>1550000</v>
      </c>
    </row>
    <row r="72" spans="1:26" ht="15" thickBot="1" x14ac:dyDescent="0.35">
      <c r="S72" s="16" t="s">
        <v>60</v>
      </c>
      <c r="T72" s="16" t="s">
        <v>79</v>
      </c>
      <c r="U72" s="16"/>
      <c r="V72" s="17">
        <v>0</v>
      </c>
      <c r="W72" s="16"/>
      <c r="X72" s="17">
        <v>-6230</v>
      </c>
      <c r="Y72" s="16"/>
      <c r="Z72" s="17">
        <f t="shared" si="8"/>
        <v>-6230</v>
      </c>
    </row>
    <row r="73" spans="1:26" x14ac:dyDescent="0.3">
      <c r="S73" t="s">
        <v>61</v>
      </c>
      <c r="T73" t="s">
        <v>80</v>
      </c>
      <c r="V73" s="9">
        <f>V71+V72</f>
        <v>1550000</v>
      </c>
      <c r="X73" s="21">
        <f>X71+X72</f>
        <v>-6230</v>
      </c>
      <c r="Z73" s="9">
        <f>SUM(V73,X73)</f>
        <v>1543770</v>
      </c>
    </row>
    <row r="74" spans="1:26" ht="15" thickBot="1" x14ac:dyDescent="0.35">
      <c r="S74" s="18" t="s">
        <v>62</v>
      </c>
      <c r="T74" s="18" t="s">
        <v>81</v>
      </c>
      <c r="U74" s="18"/>
      <c r="V74" s="19">
        <f>V69+V70+V73</f>
        <v>1550000</v>
      </c>
      <c r="W74" s="19"/>
      <c r="X74" s="19">
        <f>X69+X70+X73</f>
        <v>-3370</v>
      </c>
      <c r="Y74" s="18"/>
      <c r="Z74" s="19">
        <f>SUM(V74,X74)</f>
        <v>1546630</v>
      </c>
    </row>
    <row r="75" spans="1:26" ht="15" thickTop="1" x14ac:dyDescent="0.3">
      <c r="A75" s="29" t="s">
        <v>85</v>
      </c>
      <c r="B75" s="29"/>
      <c r="C75" s="29"/>
      <c r="D75" s="29"/>
      <c r="E75" s="29"/>
    </row>
    <row r="77" spans="1:26" x14ac:dyDescent="0.3">
      <c r="A77" s="26" t="s">
        <v>21</v>
      </c>
      <c r="B77" s="26"/>
      <c r="C77" s="26"/>
      <c r="D77" s="26"/>
      <c r="E77" s="26"/>
      <c r="F77"/>
      <c r="J77" s="26" t="s">
        <v>22</v>
      </c>
      <c r="K77" s="26"/>
      <c r="L77" s="26"/>
      <c r="M77" s="26"/>
      <c r="N77" s="26"/>
      <c r="S77" s="26" t="s">
        <v>0</v>
      </c>
      <c r="T77" s="26"/>
      <c r="U77" s="26"/>
      <c r="V77" s="26"/>
      <c r="W77" s="26"/>
    </row>
    <row r="78" spans="1:26" x14ac:dyDescent="0.3">
      <c r="A78" s="26"/>
      <c r="B78" s="26"/>
      <c r="C78" s="26"/>
      <c r="D78" s="26"/>
      <c r="E78" s="26"/>
      <c r="F78"/>
      <c r="J78" s="26"/>
      <c r="K78" s="26"/>
      <c r="L78" s="26"/>
      <c r="M78" s="26"/>
      <c r="N78" s="26"/>
      <c r="S78" s="26"/>
      <c r="T78" s="26"/>
      <c r="U78" s="26"/>
      <c r="V78" s="26"/>
      <c r="W78" s="26"/>
    </row>
    <row r="79" spans="1:26" ht="15" thickBot="1" x14ac:dyDescent="0.35">
      <c r="A79" s="1" t="s">
        <v>1</v>
      </c>
      <c r="B79" s="1"/>
      <c r="C79" s="1"/>
      <c r="D79" s="8" t="s">
        <v>16</v>
      </c>
      <c r="E79" s="3" t="s">
        <v>17</v>
      </c>
      <c r="F79" s="8" t="s">
        <v>18</v>
      </c>
      <c r="G79" s="4" t="s">
        <v>19</v>
      </c>
      <c r="H79" s="1" t="s">
        <v>20</v>
      </c>
      <c r="J79" s="1" t="s">
        <v>1</v>
      </c>
      <c r="K79" s="1"/>
      <c r="L79" s="1"/>
      <c r="M79" s="8" t="s">
        <v>16</v>
      </c>
      <c r="N79" s="3" t="s">
        <v>17</v>
      </c>
      <c r="O79" s="8" t="s">
        <v>18</v>
      </c>
      <c r="P79" s="4" t="s">
        <v>19</v>
      </c>
      <c r="Q79" s="1" t="s">
        <v>20</v>
      </c>
      <c r="S79" s="1" t="s">
        <v>1</v>
      </c>
      <c r="T79" s="1"/>
      <c r="U79" s="1"/>
      <c r="V79" s="8" t="s">
        <v>16</v>
      </c>
      <c r="W79" s="3" t="s">
        <v>17</v>
      </c>
      <c r="X79" s="8" t="s">
        <v>18</v>
      </c>
      <c r="Y79" s="4" t="s">
        <v>19</v>
      </c>
      <c r="Z79" s="8" t="s">
        <v>20</v>
      </c>
    </row>
    <row r="80" spans="1:26" x14ac:dyDescent="0.3">
      <c r="A80" s="2">
        <v>1</v>
      </c>
      <c r="C80" t="s">
        <v>6</v>
      </c>
      <c r="D80" s="9">
        <v>0</v>
      </c>
      <c r="F80" s="9">
        <v>0</v>
      </c>
      <c r="H80" s="11">
        <f>D80+F80</f>
        <v>0</v>
      </c>
      <c r="J80" t="s">
        <v>23</v>
      </c>
      <c r="K80" t="s">
        <v>32</v>
      </c>
      <c r="M80" s="9">
        <v>0</v>
      </c>
      <c r="O80" s="9">
        <v>0</v>
      </c>
      <c r="Q80" s="11">
        <v>0</v>
      </c>
      <c r="S80" t="s">
        <v>43</v>
      </c>
      <c r="T80" t="s">
        <v>63</v>
      </c>
      <c r="V80" s="9">
        <v>1546630</v>
      </c>
      <c r="X80" s="9">
        <v>1000000</v>
      </c>
      <c r="Z80" s="9">
        <f>V80+X80</f>
        <v>2546630</v>
      </c>
    </row>
    <row r="81" spans="1:26" ht="15" thickBot="1" x14ac:dyDescent="0.35">
      <c r="A81" s="5">
        <v>2</v>
      </c>
      <c r="B81" s="1"/>
      <c r="C81" s="1" t="s">
        <v>33</v>
      </c>
      <c r="D81" s="8">
        <v>0</v>
      </c>
      <c r="E81" s="1"/>
      <c r="F81" s="8">
        <v>0</v>
      </c>
      <c r="G81" s="1"/>
      <c r="H81" s="12">
        <f t="shared" ref="H81:H90" si="9">D81+F81</f>
        <v>0</v>
      </c>
      <c r="J81" t="s">
        <v>24</v>
      </c>
      <c r="K81" t="s">
        <v>34</v>
      </c>
      <c r="M81" s="9">
        <v>0</v>
      </c>
      <c r="O81" s="9">
        <v>0</v>
      </c>
      <c r="Q81" s="11">
        <f>M81+O81</f>
        <v>0</v>
      </c>
      <c r="S81" t="s">
        <v>46</v>
      </c>
      <c r="T81" t="s">
        <v>64</v>
      </c>
      <c r="V81" s="9">
        <v>0</v>
      </c>
      <c r="X81" s="9">
        <v>0</v>
      </c>
      <c r="Z81" s="9">
        <v>0</v>
      </c>
    </row>
    <row r="82" spans="1:26" ht="15" thickBot="1" x14ac:dyDescent="0.35">
      <c r="A82" s="2" t="s">
        <v>2</v>
      </c>
      <c r="C82" t="s">
        <v>7</v>
      </c>
      <c r="D82" s="9">
        <v>0</v>
      </c>
      <c r="F82" s="9">
        <v>0</v>
      </c>
      <c r="H82" s="11">
        <f t="shared" si="9"/>
        <v>0</v>
      </c>
      <c r="J82" s="1" t="s">
        <v>25</v>
      </c>
      <c r="K82" s="1" t="s">
        <v>35</v>
      </c>
      <c r="L82" s="1"/>
      <c r="M82" s="8">
        <v>3370</v>
      </c>
      <c r="N82" s="1"/>
      <c r="O82" s="8">
        <v>0</v>
      </c>
      <c r="P82" s="1"/>
      <c r="Q82" s="22">
        <f>M82+O82</f>
        <v>3370</v>
      </c>
      <c r="S82" t="s">
        <v>44</v>
      </c>
      <c r="T82" t="s">
        <v>65</v>
      </c>
      <c r="V82" s="9">
        <v>0</v>
      </c>
      <c r="X82" s="9">
        <v>0</v>
      </c>
      <c r="Z82" s="9">
        <v>0</v>
      </c>
    </row>
    <row r="83" spans="1:26" ht="15" thickBot="1" x14ac:dyDescent="0.35">
      <c r="A83" s="2">
        <v>4</v>
      </c>
      <c r="C83" t="s">
        <v>8</v>
      </c>
      <c r="D83" s="9">
        <v>0</v>
      </c>
      <c r="F83" s="9">
        <v>0</v>
      </c>
      <c r="H83" s="11">
        <f t="shared" si="9"/>
        <v>0</v>
      </c>
      <c r="J83" t="s">
        <v>26</v>
      </c>
      <c r="K83" t="s">
        <v>36</v>
      </c>
      <c r="M83" s="9">
        <f>M81-M82</f>
        <v>-3370</v>
      </c>
      <c r="O83" s="14">
        <v>0</v>
      </c>
      <c r="Q83" s="11">
        <f>Q81-Q82</f>
        <v>-3370</v>
      </c>
      <c r="S83" s="16" t="s">
        <v>45</v>
      </c>
      <c r="T83" s="16" t="s">
        <v>82</v>
      </c>
      <c r="U83" s="16"/>
      <c r="V83" s="17">
        <v>0</v>
      </c>
      <c r="W83" s="16"/>
      <c r="X83" s="17">
        <v>0</v>
      </c>
      <c r="Y83" s="16"/>
      <c r="Z83" s="17">
        <v>0</v>
      </c>
    </row>
    <row r="84" spans="1:26" x14ac:dyDescent="0.3">
      <c r="A84" s="2">
        <v>5</v>
      </c>
      <c r="C84" t="s">
        <v>9</v>
      </c>
      <c r="D84" s="9">
        <v>0</v>
      </c>
      <c r="F84" s="9">
        <v>0</v>
      </c>
      <c r="H84" s="11">
        <f t="shared" si="9"/>
        <v>0</v>
      </c>
      <c r="J84" t="s">
        <v>27</v>
      </c>
      <c r="K84" t="s">
        <v>37</v>
      </c>
      <c r="M84" s="9">
        <v>0</v>
      </c>
      <c r="O84" s="14">
        <v>0</v>
      </c>
      <c r="Q84" s="11">
        <f>M84+O84</f>
        <v>0</v>
      </c>
      <c r="S84" t="s">
        <v>47</v>
      </c>
      <c r="T84" t="s">
        <v>66</v>
      </c>
      <c r="V84" s="9">
        <f>SUM(V80:V83)</f>
        <v>1546630</v>
      </c>
      <c r="X84" s="9">
        <f>SUM(X80:X83)</f>
        <v>1000000</v>
      </c>
      <c r="Z84" s="9">
        <f>SUM(Z80:Z83)</f>
        <v>2546630</v>
      </c>
    </row>
    <row r="85" spans="1:26" ht="15" thickBot="1" x14ac:dyDescent="0.35">
      <c r="A85" s="5">
        <v>6</v>
      </c>
      <c r="B85" s="1"/>
      <c r="C85" s="1" t="s">
        <v>10</v>
      </c>
      <c r="D85" s="8">
        <v>6230</v>
      </c>
      <c r="E85" s="1"/>
      <c r="F85" s="8">
        <v>0</v>
      </c>
      <c r="G85" s="1"/>
      <c r="H85" s="12">
        <f t="shared" si="9"/>
        <v>6230</v>
      </c>
      <c r="J85" t="s">
        <v>30</v>
      </c>
      <c r="K85" t="s">
        <v>38</v>
      </c>
      <c r="M85" s="9">
        <v>0</v>
      </c>
      <c r="O85" s="14">
        <v>1000000</v>
      </c>
      <c r="Q85" s="11">
        <f>M85+O85</f>
        <v>1000000</v>
      </c>
      <c r="S85" t="s">
        <v>50</v>
      </c>
      <c r="T85" t="s">
        <v>67</v>
      </c>
      <c r="V85" s="9">
        <v>0</v>
      </c>
      <c r="X85" s="9">
        <v>0</v>
      </c>
    </row>
    <row r="86" spans="1:26" x14ac:dyDescent="0.3">
      <c r="A86" s="2" t="s">
        <v>3</v>
      </c>
      <c r="C86" t="s">
        <v>11</v>
      </c>
      <c r="D86" s="9">
        <f>SUM(D83:D85)</f>
        <v>6230</v>
      </c>
      <c r="F86" s="9">
        <f>SUM(F83:F85)</f>
        <v>0</v>
      </c>
      <c r="H86" s="11">
        <f t="shared" si="9"/>
        <v>6230</v>
      </c>
      <c r="J86" t="s">
        <v>28</v>
      </c>
      <c r="K86" t="s">
        <v>39</v>
      </c>
      <c r="M86" s="9">
        <v>0</v>
      </c>
      <c r="O86" s="14">
        <v>0</v>
      </c>
      <c r="Q86" s="11">
        <f>M86+O86</f>
        <v>0</v>
      </c>
      <c r="S86" t="s">
        <v>48</v>
      </c>
      <c r="T86" t="s">
        <v>68</v>
      </c>
      <c r="V86" s="9">
        <v>0</v>
      </c>
      <c r="X86" s="9">
        <v>0</v>
      </c>
      <c r="Z86" s="9">
        <f>SUM(V86,X86)</f>
        <v>0</v>
      </c>
    </row>
    <row r="87" spans="1:26" ht="15" thickBot="1" x14ac:dyDescent="0.35">
      <c r="A87" s="2" t="s">
        <v>4</v>
      </c>
      <c r="C87" t="s">
        <v>12</v>
      </c>
      <c r="D87" s="9">
        <f>D82-D86</f>
        <v>-6230</v>
      </c>
      <c r="F87" s="9">
        <f>F82-F86</f>
        <v>0</v>
      </c>
      <c r="H87" s="11">
        <f t="shared" si="9"/>
        <v>-6230</v>
      </c>
      <c r="J87" t="s">
        <v>29</v>
      </c>
      <c r="K87" t="s">
        <v>40</v>
      </c>
      <c r="M87" s="9">
        <v>1550000</v>
      </c>
      <c r="O87" s="14">
        <v>0</v>
      </c>
      <c r="Q87" s="11">
        <f>M87+O87</f>
        <v>1550000</v>
      </c>
      <c r="S87" s="16" t="s">
        <v>49</v>
      </c>
      <c r="T87" s="16" t="s">
        <v>69</v>
      </c>
      <c r="U87" s="16"/>
      <c r="V87" s="17">
        <v>0</v>
      </c>
      <c r="W87" s="16"/>
      <c r="X87" s="17"/>
      <c r="Y87" s="16"/>
      <c r="Z87" s="17"/>
    </row>
    <row r="88" spans="1:26" x14ac:dyDescent="0.3">
      <c r="A88" s="2">
        <v>9</v>
      </c>
      <c r="C88" t="s">
        <v>13</v>
      </c>
      <c r="D88" s="9">
        <v>0</v>
      </c>
      <c r="F88" s="9">
        <v>0</v>
      </c>
      <c r="H88" s="11">
        <f t="shared" si="9"/>
        <v>0</v>
      </c>
      <c r="J88" t="s">
        <v>31</v>
      </c>
      <c r="K88" t="s">
        <v>41</v>
      </c>
      <c r="M88" s="9">
        <f>M80+M83-M84+M85-M86+M87</f>
        <v>1546630</v>
      </c>
      <c r="O88" s="9">
        <f>O80+O83-O84+O85-O86+O87</f>
        <v>1000000</v>
      </c>
      <c r="Q88" s="11">
        <f>Q80+Q83-Q84+Q85-Q86+Q87</f>
        <v>2546630</v>
      </c>
      <c r="S88" t="s">
        <v>51</v>
      </c>
      <c r="T88" t="s">
        <v>70</v>
      </c>
      <c r="V88" s="20">
        <f>V86-V87</f>
        <v>0</v>
      </c>
      <c r="X88" s="20"/>
      <c r="Z88" s="20">
        <f>Z86-Z87</f>
        <v>0</v>
      </c>
    </row>
    <row r="89" spans="1:26" ht="15" thickBot="1" x14ac:dyDescent="0.35">
      <c r="A89" s="2">
        <v>10</v>
      </c>
      <c r="C89" t="s">
        <v>14</v>
      </c>
      <c r="D89" s="9">
        <v>0</v>
      </c>
      <c r="F89" s="9">
        <v>0</v>
      </c>
      <c r="H89" s="11">
        <f t="shared" si="9"/>
        <v>0</v>
      </c>
      <c r="S89" s="18" t="s">
        <v>52</v>
      </c>
      <c r="T89" s="18" t="s">
        <v>71</v>
      </c>
      <c r="U89" s="18"/>
      <c r="V89" s="19">
        <f>V84+V85+V88</f>
        <v>1546630</v>
      </c>
      <c r="W89" s="19"/>
      <c r="X89" s="19">
        <f>X84+X85+X88</f>
        <v>1000000</v>
      </c>
      <c r="Y89" s="18"/>
      <c r="Z89" s="19">
        <f>SUM(V89,X89)</f>
        <v>2546630</v>
      </c>
    </row>
    <row r="90" spans="1:26" ht="15.6" thickTop="1" thickBot="1" x14ac:dyDescent="0.35">
      <c r="A90" s="6" t="s">
        <v>5</v>
      </c>
      <c r="B90" s="7"/>
      <c r="C90" s="7" t="s">
        <v>15</v>
      </c>
      <c r="D90" s="10">
        <f>D87+D88-D89</f>
        <v>-6230</v>
      </c>
      <c r="E90" s="7"/>
      <c r="F90" s="10">
        <f>F87+F88-F89</f>
        <v>0</v>
      </c>
      <c r="G90" s="7"/>
      <c r="H90" s="13">
        <f t="shared" si="9"/>
        <v>-6230</v>
      </c>
      <c r="S90" t="s">
        <v>53</v>
      </c>
      <c r="T90" t="s">
        <v>72</v>
      </c>
      <c r="V90" s="9">
        <v>0</v>
      </c>
      <c r="X90" s="9">
        <v>0</v>
      </c>
      <c r="Z90" s="9">
        <f>SUM(V90,X90)</f>
        <v>0</v>
      </c>
    </row>
    <row r="91" spans="1:26" ht="15" thickTop="1" x14ac:dyDescent="0.3">
      <c r="S91" t="s">
        <v>54</v>
      </c>
      <c r="T91" t="s">
        <v>73</v>
      </c>
      <c r="V91" s="9">
        <v>2860</v>
      </c>
      <c r="X91" s="9">
        <v>0</v>
      </c>
      <c r="Z91" s="9">
        <f>SUM(V91,X91)</f>
        <v>2860</v>
      </c>
    </row>
    <row r="92" spans="1:26" x14ac:dyDescent="0.3">
      <c r="S92" t="s">
        <v>55</v>
      </c>
      <c r="T92" t="s">
        <v>74</v>
      </c>
      <c r="V92" s="9">
        <v>0</v>
      </c>
      <c r="X92" s="9">
        <v>100000</v>
      </c>
      <c r="Z92" s="9">
        <f>SUM(V92,X92)</f>
        <v>100000</v>
      </c>
    </row>
    <row r="93" spans="1:26" ht="18.600000000000001" thickBot="1" x14ac:dyDescent="0.4">
      <c r="B93" s="24"/>
      <c r="C93" s="24"/>
      <c r="S93" s="16" t="s">
        <v>56</v>
      </c>
      <c r="T93" s="16" t="s">
        <v>75</v>
      </c>
      <c r="U93" s="16"/>
      <c r="V93" s="17">
        <v>0</v>
      </c>
      <c r="W93" s="16"/>
      <c r="X93" s="17">
        <v>0</v>
      </c>
      <c r="Y93" s="16"/>
      <c r="Z93" s="17">
        <f>SUM(V93,X93)</f>
        <v>0</v>
      </c>
    </row>
    <row r="94" spans="1:26" x14ac:dyDescent="0.3">
      <c r="S94" t="s">
        <v>57</v>
      </c>
      <c r="T94" t="s">
        <v>76</v>
      </c>
      <c r="V94" s="9">
        <f>SUM(V90:V93)</f>
        <v>2860</v>
      </c>
      <c r="X94" s="9">
        <f>SUM(X90:X93)</f>
        <v>100000</v>
      </c>
      <c r="Z94" s="9">
        <f>SUM(Z90:Z93)</f>
        <v>102860</v>
      </c>
    </row>
    <row r="95" spans="1:26" x14ac:dyDescent="0.3">
      <c r="S95" t="s">
        <v>58</v>
      </c>
      <c r="T95" t="s">
        <v>77</v>
      </c>
      <c r="V95" s="9">
        <v>0</v>
      </c>
      <c r="X95" s="9">
        <v>900000</v>
      </c>
      <c r="Z95" s="9">
        <f>SUM(V95,X95)</f>
        <v>900000</v>
      </c>
    </row>
    <row r="96" spans="1:26" x14ac:dyDescent="0.3">
      <c r="S96" t="s">
        <v>59</v>
      </c>
      <c r="T96" t="s">
        <v>78</v>
      </c>
      <c r="V96" s="9">
        <v>1550000</v>
      </c>
      <c r="X96" s="9">
        <v>0</v>
      </c>
      <c r="Z96" s="9">
        <f>SUM(V96,X96)</f>
        <v>1550000</v>
      </c>
    </row>
    <row r="97" spans="1:26" ht="15" thickBot="1" x14ac:dyDescent="0.35">
      <c r="S97" s="16" t="s">
        <v>60</v>
      </c>
      <c r="T97" s="16" t="s">
        <v>79</v>
      </c>
      <c r="U97" s="16"/>
      <c r="V97" s="17">
        <v>-6230</v>
      </c>
      <c r="W97" s="16"/>
      <c r="X97" s="17">
        <v>0</v>
      </c>
      <c r="Y97" s="16"/>
      <c r="Z97" s="17">
        <f>SUM(V97,X97)</f>
        <v>-6230</v>
      </c>
    </row>
    <row r="98" spans="1:26" x14ac:dyDescent="0.3">
      <c r="S98" t="s">
        <v>61</v>
      </c>
      <c r="T98" t="s">
        <v>80</v>
      </c>
      <c r="V98" s="9">
        <f>V96+V97</f>
        <v>1543770</v>
      </c>
      <c r="X98" s="21">
        <f>X96+X97</f>
        <v>0</v>
      </c>
      <c r="Z98" s="9">
        <f>SUM(V98,X98)</f>
        <v>1543770</v>
      </c>
    </row>
    <row r="99" spans="1:26" ht="18.600000000000001" thickBot="1" x14ac:dyDescent="0.4">
      <c r="A99" s="24" t="s">
        <v>86</v>
      </c>
      <c r="S99" s="18" t="s">
        <v>62</v>
      </c>
      <c r="T99" s="18" t="s">
        <v>81</v>
      </c>
      <c r="U99" s="18"/>
      <c r="V99" s="19">
        <f>V94+V95+V98</f>
        <v>1546630</v>
      </c>
      <c r="W99" s="19"/>
      <c r="X99" s="19">
        <f>X94+X95+X98</f>
        <v>1000000</v>
      </c>
      <c r="Y99" s="18"/>
      <c r="Z99" s="19">
        <f>SUM(V99,X99)</f>
        <v>2546630</v>
      </c>
    </row>
    <row r="100" spans="1:26" ht="15" thickTop="1" x14ac:dyDescent="0.3"/>
    <row r="101" spans="1:26" ht="25.8" x14ac:dyDescent="0.3">
      <c r="A101" s="15" t="s">
        <v>21</v>
      </c>
      <c r="B101" s="15"/>
      <c r="C101" s="15"/>
      <c r="D101" s="15"/>
      <c r="E101" s="15"/>
      <c r="F101"/>
      <c r="J101" s="15" t="s">
        <v>22</v>
      </c>
      <c r="K101" s="15"/>
      <c r="L101" s="15"/>
      <c r="M101" s="15"/>
      <c r="N101" s="15"/>
      <c r="S101" s="26" t="s">
        <v>0</v>
      </c>
      <c r="T101" s="26"/>
      <c r="U101" s="26"/>
      <c r="V101" s="26"/>
      <c r="W101" s="26"/>
    </row>
    <row r="102" spans="1:26" ht="16.2" customHeight="1" x14ac:dyDescent="0.3">
      <c r="A102" s="15"/>
      <c r="B102" s="15"/>
      <c r="C102" s="15"/>
      <c r="D102" s="15"/>
      <c r="E102" s="15"/>
      <c r="F102"/>
      <c r="J102" s="15"/>
      <c r="K102" s="15"/>
      <c r="L102" s="15"/>
      <c r="M102" s="15"/>
      <c r="N102" s="15"/>
      <c r="S102" s="26"/>
      <c r="T102" s="26"/>
      <c r="U102" s="26"/>
      <c r="V102" s="26"/>
      <c r="W102" s="26"/>
    </row>
    <row r="103" spans="1:26" ht="15" customHeight="1" thickBot="1" x14ac:dyDescent="0.35">
      <c r="A103" s="1" t="s">
        <v>1</v>
      </c>
      <c r="B103" s="1"/>
      <c r="C103" s="1"/>
      <c r="D103" s="8" t="s">
        <v>16</v>
      </c>
      <c r="E103" s="3" t="s">
        <v>17</v>
      </c>
      <c r="F103" s="8" t="s">
        <v>18</v>
      </c>
      <c r="G103" s="4" t="s">
        <v>19</v>
      </c>
      <c r="H103" s="1" t="s">
        <v>20</v>
      </c>
      <c r="J103" s="1" t="s">
        <v>1</v>
      </c>
      <c r="K103" s="1"/>
      <c r="L103" s="1"/>
      <c r="M103" s="8" t="s">
        <v>16</v>
      </c>
      <c r="N103" s="3" t="s">
        <v>17</v>
      </c>
      <c r="O103" s="8" t="s">
        <v>18</v>
      </c>
      <c r="P103" s="4" t="s">
        <v>19</v>
      </c>
      <c r="Q103" s="1" t="s">
        <v>20</v>
      </c>
      <c r="S103" s="1" t="s">
        <v>1</v>
      </c>
      <c r="T103" s="1"/>
      <c r="U103" s="1"/>
      <c r="V103" s="8" t="s">
        <v>16</v>
      </c>
      <c r="W103" s="3" t="s">
        <v>17</v>
      </c>
      <c r="X103" s="8" t="s">
        <v>18</v>
      </c>
      <c r="Y103" s="4" t="s">
        <v>19</v>
      </c>
      <c r="Z103" s="8" t="s">
        <v>20</v>
      </c>
    </row>
    <row r="104" spans="1:26" x14ac:dyDescent="0.3">
      <c r="A104" s="2">
        <v>1</v>
      </c>
      <c r="C104" t="s">
        <v>6</v>
      </c>
      <c r="D104" s="9">
        <v>0</v>
      </c>
      <c r="F104" s="9">
        <v>0</v>
      </c>
      <c r="H104" s="11">
        <f>D104+F104</f>
        <v>0</v>
      </c>
      <c r="J104" t="s">
        <v>23</v>
      </c>
      <c r="K104" t="s">
        <v>32</v>
      </c>
      <c r="M104" s="9">
        <v>0</v>
      </c>
      <c r="O104" s="9">
        <v>0</v>
      </c>
      <c r="Q104" s="11">
        <v>0</v>
      </c>
      <c r="S104" t="s">
        <v>43</v>
      </c>
      <c r="T104" t="s">
        <v>63</v>
      </c>
      <c r="V104" s="9">
        <v>2546630</v>
      </c>
      <c r="X104" s="9">
        <v>-1500000</v>
      </c>
      <c r="Z104" s="9">
        <f>V104+X104</f>
        <v>1046630</v>
      </c>
    </row>
    <row r="105" spans="1:26" ht="15" thickBot="1" x14ac:dyDescent="0.35">
      <c r="A105" s="5">
        <v>2</v>
      </c>
      <c r="B105" s="1"/>
      <c r="C105" s="1" t="s">
        <v>33</v>
      </c>
      <c r="D105" s="8">
        <v>0</v>
      </c>
      <c r="E105" s="1"/>
      <c r="F105" s="8">
        <v>0</v>
      </c>
      <c r="G105" s="1"/>
      <c r="H105" s="12">
        <f t="shared" ref="H105:H114" si="10">D105+F105</f>
        <v>0</v>
      </c>
      <c r="J105" t="s">
        <v>24</v>
      </c>
      <c r="K105" t="s">
        <v>34</v>
      </c>
      <c r="M105" s="9">
        <v>0</v>
      </c>
      <c r="O105" s="9">
        <v>0</v>
      </c>
      <c r="Q105" s="11">
        <f>M105+O105</f>
        <v>0</v>
      </c>
      <c r="S105" t="s">
        <v>46</v>
      </c>
      <c r="T105" t="s">
        <v>64</v>
      </c>
      <c r="V105" s="9">
        <v>0</v>
      </c>
      <c r="X105" s="9">
        <v>0</v>
      </c>
      <c r="Z105" s="9">
        <v>0</v>
      </c>
    </row>
    <row r="106" spans="1:26" ht="14.4" customHeight="1" thickBot="1" x14ac:dyDescent="0.35">
      <c r="A106" s="2" t="s">
        <v>2</v>
      </c>
      <c r="C106" t="s">
        <v>7</v>
      </c>
      <c r="D106" s="9">
        <v>0</v>
      </c>
      <c r="F106" s="9">
        <v>0</v>
      </c>
      <c r="H106" s="11">
        <f t="shared" si="10"/>
        <v>0</v>
      </c>
      <c r="J106" s="1" t="s">
        <v>25</v>
      </c>
      <c r="K106" s="1" t="s">
        <v>35</v>
      </c>
      <c r="L106" s="1"/>
      <c r="M106" s="8">
        <v>3370</v>
      </c>
      <c r="N106" s="1"/>
      <c r="O106" s="8">
        <v>0</v>
      </c>
      <c r="P106" s="1"/>
      <c r="Q106" s="22">
        <f>M106+O106</f>
        <v>3370</v>
      </c>
      <c r="S106" t="s">
        <v>44</v>
      </c>
      <c r="T106" t="s">
        <v>65</v>
      </c>
      <c r="V106" s="9">
        <v>0</v>
      </c>
      <c r="X106" s="9">
        <v>0</v>
      </c>
      <c r="Z106" s="9">
        <v>0</v>
      </c>
    </row>
    <row r="107" spans="1:26" ht="14.4" customHeight="1" thickBot="1" x14ac:dyDescent="0.35">
      <c r="A107" s="2">
        <v>4</v>
      </c>
      <c r="C107" t="s">
        <v>8</v>
      </c>
      <c r="D107" s="9">
        <v>0</v>
      </c>
      <c r="F107" s="9">
        <v>0</v>
      </c>
      <c r="H107" s="11">
        <f t="shared" si="10"/>
        <v>0</v>
      </c>
      <c r="J107" t="s">
        <v>26</v>
      </c>
      <c r="K107" t="s">
        <v>36</v>
      </c>
      <c r="M107" s="9">
        <f>M105-M106</f>
        <v>-3370</v>
      </c>
      <c r="O107" s="14">
        <v>0</v>
      </c>
      <c r="Q107" s="11">
        <f>Q105-Q106</f>
        <v>-3370</v>
      </c>
      <c r="S107" s="16" t="s">
        <v>45</v>
      </c>
      <c r="T107" s="16" t="s">
        <v>82</v>
      </c>
      <c r="U107" s="16"/>
      <c r="V107" s="17">
        <v>0</v>
      </c>
      <c r="W107" s="16"/>
      <c r="X107" s="17">
        <v>0</v>
      </c>
      <c r="Y107" s="16"/>
      <c r="Z107" s="17">
        <v>0</v>
      </c>
    </row>
    <row r="108" spans="1:26" x14ac:dyDescent="0.3">
      <c r="A108" s="2">
        <v>5</v>
      </c>
      <c r="C108" t="s">
        <v>9</v>
      </c>
      <c r="D108" s="9">
        <v>0</v>
      </c>
      <c r="F108" s="9">
        <v>0</v>
      </c>
      <c r="H108" s="11">
        <f t="shared" si="10"/>
        <v>0</v>
      </c>
      <c r="J108" t="s">
        <v>27</v>
      </c>
      <c r="K108" t="s">
        <v>37</v>
      </c>
      <c r="M108" s="9">
        <v>0</v>
      </c>
      <c r="O108" s="14">
        <v>1500000</v>
      </c>
      <c r="Q108" s="11">
        <f>M108+O108</f>
        <v>1500000</v>
      </c>
      <c r="S108" t="s">
        <v>47</v>
      </c>
      <c r="T108" t="s">
        <v>66</v>
      </c>
      <c r="V108" s="9">
        <f>SUM(V104:V107)</f>
        <v>2546630</v>
      </c>
      <c r="X108" s="9">
        <f>SUM(X104:X107)</f>
        <v>-1500000</v>
      </c>
      <c r="Z108" s="9">
        <f>SUM(Z104:Z107)</f>
        <v>1046630</v>
      </c>
    </row>
    <row r="109" spans="1:26" ht="15" thickBot="1" x14ac:dyDescent="0.35">
      <c r="A109" s="5">
        <v>6</v>
      </c>
      <c r="B109" s="1"/>
      <c r="C109" s="1" t="s">
        <v>10</v>
      </c>
      <c r="D109" s="8">
        <v>6230</v>
      </c>
      <c r="E109" s="1"/>
      <c r="F109" s="8">
        <v>0</v>
      </c>
      <c r="G109" s="1"/>
      <c r="H109" s="12">
        <f t="shared" si="10"/>
        <v>6230</v>
      </c>
      <c r="J109" t="s">
        <v>30</v>
      </c>
      <c r="K109" t="s">
        <v>38</v>
      </c>
      <c r="M109" s="9">
        <v>1000000</v>
      </c>
      <c r="O109" s="14"/>
      <c r="Q109" s="11">
        <f>M109+O109</f>
        <v>1000000</v>
      </c>
      <c r="S109" t="s">
        <v>50</v>
      </c>
      <c r="T109" t="s">
        <v>67</v>
      </c>
      <c r="V109" s="9">
        <v>0</v>
      </c>
      <c r="X109" s="9">
        <v>0</v>
      </c>
    </row>
    <row r="110" spans="1:26" x14ac:dyDescent="0.3">
      <c r="A110" s="2" t="s">
        <v>3</v>
      </c>
      <c r="C110" t="s">
        <v>11</v>
      </c>
      <c r="D110" s="9">
        <f>SUM(D107:D109)</f>
        <v>6230</v>
      </c>
      <c r="F110" s="9">
        <f>SUM(F107:F109)</f>
        <v>0</v>
      </c>
      <c r="H110" s="11">
        <f t="shared" si="10"/>
        <v>6230</v>
      </c>
      <c r="J110" t="s">
        <v>28</v>
      </c>
      <c r="K110" t="s">
        <v>39</v>
      </c>
      <c r="M110" s="9">
        <v>0</v>
      </c>
      <c r="O110" s="14">
        <v>0</v>
      </c>
      <c r="Q110" s="11">
        <f>M110+O110</f>
        <v>0</v>
      </c>
      <c r="S110" t="s">
        <v>48</v>
      </c>
      <c r="T110" t="s">
        <v>68</v>
      </c>
      <c r="V110" s="9">
        <v>0</v>
      </c>
      <c r="X110" s="9">
        <v>1500000</v>
      </c>
      <c r="Z110" s="9">
        <f>SUM(V110,X110)</f>
        <v>1500000</v>
      </c>
    </row>
    <row r="111" spans="1:26" ht="15" thickBot="1" x14ac:dyDescent="0.35">
      <c r="A111" s="2" t="s">
        <v>4</v>
      </c>
      <c r="C111" t="s">
        <v>12</v>
      </c>
      <c r="D111" s="9">
        <f>D106-D110</f>
        <v>-6230</v>
      </c>
      <c r="F111" s="9">
        <f>F106-F110</f>
        <v>0</v>
      </c>
      <c r="H111" s="11">
        <f t="shared" si="10"/>
        <v>-6230</v>
      </c>
      <c r="J111" t="s">
        <v>29</v>
      </c>
      <c r="K111" t="s">
        <v>40</v>
      </c>
      <c r="M111" s="9">
        <v>1550000</v>
      </c>
      <c r="O111" s="14">
        <v>0</v>
      </c>
      <c r="Q111" s="11">
        <f>M111+O111</f>
        <v>1550000</v>
      </c>
      <c r="S111" s="16" t="s">
        <v>49</v>
      </c>
      <c r="T111" s="16" t="s">
        <v>69</v>
      </c>
      <c r="U111" s="16"/>
      <c r="V111" s="17">
        <v>0</v>
      </c>
      <c r="W111" s="16"/>
      <c r="X111" s="17"/>
      <c r="Y111" s="16"/>
      <c r="Z111" s="17"/>
    </row>
    <row r="112" spans="1:26" x14ac:dyDescent="0.3">
      <c r="A112" s="2">
        <v>9</v>
      </c>
      <c r="C112" t="s">
        <v>13</v>
      </c>
      <c r="D112" s="9">
        <v>0</v>
      </c>
      <c r="F112" s="9">
        <v>0</v>
      </c>
      <c r="H112" s="11">
        <f t="shared" si="10"/>
        <v>0</v>
      </c>
      <c r="J112" t="s">
        <v>31</v>
      </c>
      <c r="K112" t="s">
        <v>41</v>
      </c>
      <c r="M112" s="9">
        <f>M104+M107-M108+M109-M110+M111</f>
        <v>2546630</v>
      </c>
      <c r="O112" s="9">
        <f>O104+O107-O108+O109-O110+O111</f>
        <v>-1500000</v>
      </c>
      <c r="Q112" s="11">
        <f>Q104+Q107-Q108+Q109-Q110+Q111</f>
        <v>1046630</v>
      </c>
      <c r="S112" t="s">
        <v>51</v>
      </c>
      <c r="T112" t="s">
        <v>70</v>
      </c>
      <c r="V112" s="20">
        <f>V110-V111</f>
        <v>0</v>
      </c>
      <c r="X112" s="20"/>
      <c r="Z112" s="20">
        <f>Z110-Z111</f>
        <v>1500000</v>
      </c>
    </row>
    <row r="113" spans="1:26" ht="15" thickBot="1" x14ac:dyDescent="0.35">
      <c r="A113" s="2">
        <v>10</v>
      </c>
      <c r="C113" t="s">
        <v>14</v>
      </c>
      <c r="D113" s="9">
        <v>0</v>
      </c>
      <c r="F113" s="9">
        <v>0</v>
      </c>
      <c r="H113" s="11">
        <f t="shared" si="10"/>
        <v>0</v>
      </c>
      <c r="S113" s="18" t="s">
        <v>52</v>
      </c>
      <c r="T113" s="18" t="s">
        <v>71</v>
      </c>
      <c r="U113" s="18"/>
      <c r="V113" s="19">
        <f>V108+V109+V112</f>
        <v>2546630</v>
      </c>
      <c r="W113" s="19"/>
      <c r="X113" s="19">
        <f>X108+X109+X112</f>
        <v>-1500000</v>
      </c>
      <c r="Y113" s="18"/>
      <c r="Z113" s="19">
        <f>Z108+Z109+Z112</f>
        <v>2546630</v>
      </c>
    </row>
    <row r="114" spans="1:26" ht="15.6" thickTop="1" thickBot="1" x14ac:dyDescent="0.35">
      <c r="A114" s="6" t="s">
        <v>5</v>
      </c>
      <c r="B114" s="7"/>
      <c r="C114" s="7" t="s">
        <v>15</v>
      </c>
      <c r="D114" s="10">
        <f>D111+D112-D113</f>
        <v>-6230</v>
      </c>
      <c r="E114" s="7"/>
      <c r="F114" s="10">
        <f>F111+F112-F113</f>
        <v>0</v>
      </c>
      <c r="G114" s="7"/>
      <c r="H114" s="13">
        <f t="shared" si="10"/>
        <v>-6230</v>
      </c>
      <c r="S114" t="s">
        <v>53</v>
      </c>
      <c r="T114" t="s">
        <v>72</v>
      </c>
      <c r="V114" s="9">
        <v>0</v>
      </c>
      <c r="X114" s="9">
        <v>0</v>
      </c>
      <c r="Z114" s="9">
        <f>SUM(V114,X114)</f>
        <v>0</v>
      </c>
    </row>
    <row r="115" spans="1:26" ht="15" thickTop="1" x14ac:dyDescent="0.3">
      <c r="S115" t="s">
        <v>54</v>
      </c>
      <c r="T115" t="s">
        <v>73</v>
      </c>
      <c r="V115" s="9">
        <v>2860</v>
      </c>
      <c r="X115" s="9">
        <v>0</v>
      </c>
      <c r="Z115" s="9">
        <f>SUM(V115,X115)</f>
        <v>2860</v>
      </c>
    </row>
    <row r="116" spans="1:26" x14ac:dyDescent="0.3">
      <c r="S116" t="s">
        <v>55</v>
      </c>
      <c r="T116" t="s">
        <v>74</v>
      </c>
      <c r="V116" s="9">
        <v>100000</v>
      </c>
      <c r="Z116" s="9">
        <f>SUM(V116,X116)</f>
        <v>100000</v>
      </c>
    </row>
    <row r="117" spans="1:26" ht="15" thickBot="1" x14ac:dyDescent="0.35">
      <c r="S117" s="16" t="s">
        <v>56</v>
      </c>
      <c r="T117" s="16" t="s">
        <v>75</v>
      </c>
      <c r="U117" s="16"/>
      <c r="V117" s="17">
        <v>0</v>
      </c>
      <c r="W117" s="16"/>
      <c r="X117" s="17">
        <v>0</v>
      </c>
      <c r="Y117" s="16"/>
      <c r="Z117" s="17">
        <f>SUM(V117,X117)</f>
        <v>0</v>
      </c>
    </row>
    <row r="118" spans="1:26" x14ac:dyDescent="0.3">
      <c r="S118" t="s">
        <v>57</v>
      </c>
      <c r="T118" t="s">
        <v>76</v>
      </c>
      <c r="V118" s="9">
        <f>SUM(V114:V117)</f>
        <v>102860</v>
      </c>
      <c r="X118" s="9">
        <f>SUM(X114:X117)</f>
        <v>0</v>
      </c>
      <c r="Z118" s="9">
        <f>SUM(Z114:Z117)</f>
        <v>102860</v>
      </c>
    </row>
    <row r="119" spans="1:26" x14ac:dyDescent="0.3">
      <c r="S119" t="s">
        <v>58</v>
      </c>
      <c r="T119" t="s">
        <v>77</v>
      </c>
      <c r="V119" s="9">
        <v>900000</v>
      </c>
      <c r="Z119" s="9">
        <f>SUM(V119,X119)</f>
        <v>900000</v>
      </c>
    </row>
    <row r="120" spans="1:26" x14ac:dyDescent="0.3">
      <c r="S120" t="s">
        <v>59</v>
      </c>
      <c r="T120" t="s">
        <v>78</v>
      </c>
      <c r="V120" s="9">
        <v>1550000</v>
      </c>
      <c r="X120" s="9">
        <v>0</v>
      </c>
      <c r="Z120" s="9">
        <f>SUM(V120,X120)</f>
        <v>1550000</v>
      </c>
    </row>
    <row r="121" spans="1:26" ht="15" thickBot="1" x14ac:dyDescent="0.35">
      <c r="S121" s="16" t="s">
        <v>60</v>
      </c>
      <c r="T121" s="16" t="s">
        <v>79</v>
      </c>
      <c r="U121" s="16"/>
      <c r="V121" s="17">
        <v>-6230</v>
      </c>
      <c r="W121" s="16"/>
      <c r="X121" s="17">
        <v>0</v>
      </c>
      <c r="Y121" s="16"/>
      <c r="Z121" s="17">
        <f>SUM(V121,X121)</f>
        <v>-6230</v>
      </c>
    </row>
    <row r="122" spans="1:26" x14ac:dyDescent="0.3">
      <c r="S122" t="s">
        <v>61</v>
      </c>
      <c r="T122" t="s">
        <v>80</v>
      </c>
      <c r="V122" s="9">
        <f>V120+V121</f>
        <v>1543770</v>
      </c>
      <c r="X122" s="21">
        <f>X120+X121</f>
        <v>0</v>
      </c>
      <c r="Z122" s="9">
        <f>SUM(V122,X122)</f>
        <v>1543770</v>
      </c>
    </row>
    <row r="123" spans="1:26" ht="15" thickBot="1" x14ac:dyDescent="0.35">
      <c r="S123" s="18" t="s">
        <v>62</v>
      </c>
      <c r="T123" s="18" t="s">
        <v>81</v>
      </c>
      <c r="U123" s="18"/>
      <c r="V123" s="19">
        <f>V118+V119+V122</f>
        <v>2546630</v>
      </c>
      <c r="W123" s="19"/>
      <c r="X123" s="19">
        <f>X118+X119+X122</f>
        <v>0</v>
      </c>
      <c r="Y123" s="18"/>
      <c r="Z123" s="19">
        <f>SUM(V123,X123)</f>
        <v>2546630</v>
      </c>
    </row>
    <row r="124" spans="1:26" ht="15" thickTop="1" x14ac:dyDescent="0.3"/>
    <row r="125" spans="1:26" x14ac:dyDescent="0.3">
      <c r="A125" s="23" t="s">
        <v>87</v>
      </c>
    </row>
    <row r="127" spans="1:26" ht="25.8" x14ac:dyDescent="0.3">
      <c r="A127" s="15" t="s">
        <v>21</v>
      </c>
      <c r="B127" s="15"/>
      <c r="C127" s="15"/>
      <c r="D127" s="15"/>
      <c r="E127" s="15"/>
      <c r="F127"/>
      <c r="J127" s="15" t="s">
        <v>22</v>
      </c>
      <c r="K127" s="15"/>
      <c r="L127" s="15"/>
      <c r="M127" s="15"/>
      <c r="N127" s="15"/>
      <c r="S127" s="26" t="s">
        <v>0</v>
      </c>
      <c r="T127" s="26"/>
      <c r="U127" s="26"/>
      <c r="V127" s="26"/>
      <c r="W127" s="26"/>
    </row>
    <row r="128" spans="1:26" ht="12" customHeight="1" x14ac:dyDescent="0.3">
      <c r="A128" s="15"/>
      <c r="B128" s="15"/>
      <c r="C128" s="15"/>
      <c r="D128" s="15"/>
      <c r="E128" s="15"/>
      <c r="F128"/>
      <c r="J128" s="15"/>
      <c r="K128" s="15"/>
      <c r="L128" s="15"/>
      <c r="M128" s="15"/>
      <c r="N128" s="15"/>
      <c r="S128" s="26"/>
      <c r="T128" s="26"/>
      <c r="U128" s="26"/>
      <c r="V128" s="26"/>
      <c r="W128" s="26"/>
    </row>
    <row r="129" spans="1:26" ht="15" thickBot="1" x14ac:dyDescent="0.35">
      <c r="A129" s="1" t="s">
        <v>1</v>
      </c>
      <c r="B129" s="1"/>
      <c r="C129" s="1"/>
      <c r="D129" s="8" t="s">
        <v>16</v>
      </c>
      <c r="E129" s="3" t="s">
        <v>17</v>
      </c>
      <c r="F129" s="8" t="s">
        <v>18</v>
      </c>
      <c r="G129" s="4" t="s">
        <v>19</v>
      </c>
      <c r="H129" s="1" t="s">
        <v>20</v>
      </c>
      <c r="J129" s="1" t="s">
        <v>1</v>
      </c>
      <c r="K129" s="1"/>
      <c r="L129" s="1"/>
      <c r="M129" s="8" t="s">
        <v>16</v>
      </c>
      <c r="N129" s="3" t="s">
        <v>17</v>
      </c>
      <c r="O129" s="8" t="s">
        <v>18</v>
      </c>
      <c r="P129" s="4" t="s">
        <v>19</v>
      </c>
      <c r="Q129" s="1" t="s">
        <v>20</v>
      </c>
      <c r="S129" s="1" t="s">
        <v>1</v>
      </c>
      <c r="T129" s="1"/>
      <c r="U129" s="1"/>
      <c r="V129" s="8" t="s">
        <v>16</v>
      </c>
      <c r="W129" s="3" t="s">
        <v>17</v>
      </c>
      <c r="X129" s="8" t="s">
        <v>18</v>
      </c>
      <c r="Y129" s="4" t="s">
        <v>19</v>
      </c>
      <c r="Z129" s="8" t="s">
        <v>20</v>
      </c>
    </row>
    <row r="130" spans="1:26" x14ac:dyDescent="0.3">
      <c r="A130" s="2">
        <v>1</v>
      </c>
      <c r="C130" t="s">
        <v>6</v>
      </c>
      <c r="D130" s="9">
        <v>0</v>
      </c>
      <c r="F130" s="9">
        <v>0</v>
      </c>
      <c r="H130" s="11">
        <f>D130+F130</f>
        <v>0</v>
      </c>
      <c r="J130" t="s">
        <v>23</v>
      </c>
      <c r="K130" t="s">
        <v>32</v>
      </c>
      <c r="M130" s="9">
        <v>0</v>
      </c>
      <c r="O130" s="9">
        <v>0</v>
      </c>
      <c r="Q130" s="11">
        <v>0</v>
      </c>
      <c r="S130" t="s">
        <v>43</v>
      </c>
      <c r="T130" t="s">
        <v>63</v>
      </c>
      <c r="V130" s="9">
        <v>1046630</v>
      </c>
      <c r="X130" s="9">
        <v>-7960</v>
      </c>
      <c r="Z130" s="9">
        <f>V130+X130</f>
        <v>1038670</v>
      </c>
    </row>
    <row r="131" spans="1:26" ht="15" thickBot="1" x14ac:dyDescent="0.35">
      <c r="A131" s="5">
        <v>2</v>
      </c>
      <c r="B131" s="1"/>
      <c r="C131" s="1" t="s">
        <v>33</v>
      </c>
      <c r="D131" s="8">
        <v>0</v>
      </c>
      <c r="E131" s="1"/>
      <c r="F131" s="8">
        <v>0</v>
      </c>
      <c r="G131" s="1"/>
      <c r="H131" s="12">
        <f t="shared" ref="H131:H140" si="11">D131+F131</f>
        <v>0</v>
      </c>
      <c r="J131" t="s">
        <v>24</v>
      </c>
      <c r="K131" t="s">
        <v>34</v>
      </c>
      <c r="M131" s="9">
        <v>0</v>
      </c>
      <c r="O131" s="9">
        <v>0</v>
      </c>
      <c r="Q131" s="11">
        <f>M131+O131</f>
        <v>0</v>
      </c>
      <c r="S131" t="s">
        <v>46</v>
      </c>
      <c r="T131" t="s">
        <v>64</v>
      </c>
      <c r="V131" s="9">
        <v>0</v>
      </c>
      <c r="X131" s="9">
        <v>0</v>
      </c>
      <c r="Z131" s="9">
        <v>0</v>
      </c>
    </row>
    <row r="132" spans="1:26" ht="15" thickBot="1" x14ac:dyDescent="0.35">
      <c r="A132" s="2" t="s">
        <v>2</v>
      </c>
      <c r="C132" t="s">
        <v>7</v>
      </c>
      <c r="D132" s="9">
        <v>0</v>
      </c>
      <c r="F132" s="9">
        <v>0</v>
      </c>
      <c r="H132" s="11">
        <f t="shared" si="11"/>
        <v>0</v>
      </c>
      <c r="J132" s="1" t="s">
        <v>25</v>
      </c>
      <c r="K132" s="1" t="s">
        <v>35</v>
      </c>
      <c r="L132" s="1"/>
      <c r="M132" s="8">
        <v>3370</v>
      </c>
      <c r="N132" s="1"/>
      <c r="O132" s="8">
        <v>7960</v>
      </c>
      <c r="P132" s="1"/>
      <c r="Q132" s="22">
        <f>M132+O132</f>
        <v>11330</v>
      </c>
      <c r="S132" t="s">
        <v>44</v>
      </c>
      <c r="T132" t="s">
        <v>65</v>
      </c>
      <c r="V132" s="9">
        <v>0</v>
      </c>
      <c r="X132" s="9">
        <v>0</v>
      </c>
      <c r="Z132" s="9">
        <v>0</v>
      </c>
    </row>
    <row r="133" spans="1:26" ht="15" thickBot="1" x14ac:dyDescent="0.35">
      <c r="A133" s="2">
        <v>4</v>
      </c>
      <c r="C133" t="s">
        <v>8</v>
      </c>
      <c r="D133" s="9">
        <v>0</v>
      </c>
      <c r="F133" s="9">
        <v>7680</v>
      </c>
      <c r="H133" s="11">
        <f t="shared" si="11"/>
        <v>7680</v>
      </c>
      <c r="J133" t="s">
        <v>26</v>
      </c>
      <c r="K133" t="s">
        <v>36</v>
      </c>
      <c r="M133" s="9">
        <f>M131-M132</f>
        <v>-3370</v>
      </c>
      <c r="O133" s="14">
        <f>O131-O132</f>
        <v>-7960</v>
      </c>
      <c r="Q133" s="11">
        <f>Q131-Q132</f>
        <v>-11330</v>
      </c>
      <c r="S133" s="16" t="s">
        <v>45</v>
      </c>
      <c r="T133" s="16" t="s">
        <v>82</v>
      </c>
      <c r="U133" s="16"/>
      <c r="V133" s="17">
        <v>0</v>
      </c>
      <c r="W133" s="16"/>
      <c r="X133" s="17">
        <v>0</v>
      </c>
      <c r="Y133" s="16"/>
      <c r="Z133" s="17">
        <v>0</v>
      </c>
    </row>
    <row r="134" spans="1:26" x14ac:dyDescent="0.3">
      <c r="A134" s="2">
        <v>5</v>
      </c>
      <c r="C134" t="s">
        <v>9</v>
      </c>
      <c r="D134" s="9">
        <v>0</v>
      </c>
      <c r="F134" s="9">
        <v>0</v>
      </c>
      <c r="H134" s="11">
        <f t="shared" si="11"/>
        <v>0</v>
      </c>
      <c r="J134" t="s">
        <v>27</v>
      </c>
      <c r="K134" t="s">
        <v>37</v>
      </c>
      <c r="M134" s="9">
        <v>1500000</v>
      </c>
      <c r="O134" s="14"/>
      <c r="Q134" s="11">
        <f>M134+O134</f>
        <v>1500000</v>
      </c>
      <c r="S134" t="s">
        <v>47</v>
      </c>
      <c r="T134" t="s">
        <v>66</v>
      </c>
      <c r="V134" s="9">
        <f>SUM(V130:V133)</f>
        <v>1046630</v>
      </c>
      <c r="X134" s="9">
        <f>SUM(X130:X133)</f>
        <v>-7960</v>
      </c>
      <c r="Z134" s="9">
        <f>SUM(Z130:Z133)</f>
        <v>1038670</v>
      </c>
    </row>
    <row r="135" spans="1:26" ht="15" thickBot="1" x14ac:dyDescent="0.35">
      <c r="A135" s="5">
        <v>6</v>
      </c>
      <c r="B135" s="1"/>
      <c r="C135" s="1" t="s">
        <v>10</v>
      </c>
      <c r="D135" s="8">
        <v>6230</v>
      </c>
      <c r="E135" s="1"/>
      <c r="F135" s="8">
        <v>7110</v>
      </c>
      <c r="G135" s="1"/>
      <c r="H135" s="12">
        <f t="shared" si="11"/>
        <v>13340</v>
      </c>
      <c r="J135" t="s">
        <v>30</v>
      </c>
      <c r="K135" t="s">
        <v>38</v>
      </c>
      <c r="M135" s="9">
        <v>1000000</v>
      </c>
      <c r="O135" s="14"/>
      <c r="Q135" s="11">
        <f>M135+O135</f>
        <v>1000000</v>
      </c>
      <c r="S135" t="s">
        <v>50</v>
      </c>
      <c r="T135" t="s">
        <v>67</v>
      </c>
      <c r="V135" s="9">
        <v>0</v>
      </c>
      <c r="X135" s="9">
        <v>0</v>
      </c>
    </row>
    <row r="136" spans="1:26" x14ac:dyDescent="0.3">
      <c r="A136" s="2" t="s">
        <v>3</v>
      </c>
      <c r="C136" t="s">
        <v>11</v>
      </c>
      <c r="D136" s="9">
        <f>SUM(D133:D135)</f>
        <v>6230</v>
      </c>
      <c r="F136" s="9">
        <f>SUM(F133:F135)</f>
        <v>14790</v>
      </c>
      <c r="H136" s="11">
        <f t="shared" si="11"/>
        <v>21020</v>
      </c>
      <c r="J136" t="s">
        <v>28</v>
      </c>
      <c r="K136" t="s">
        <v>39</v>
      </c>
      <c r="M136" s="9">
        <v>0</v>
      </c>
      <c r="O136" s="14">
        <v>0</v>
      </c>
      <c r="Q136" s="11">
        <f>M136+O136</f>
        <v>0</v>
      </c>
      <c r="S136" t="s">
        <v>48</v>
      </c>
      <c r="T136" t="s">
        <v>68</v>
      </c>
      <c r="V136" s="9">
        <v>0</v>
      </c>
      <c r="X136" s="9">
        <v>1500000</v>
      </c>
      <c r="Z136" s="9">
        <f>SUM(V136,X136)</f>
        <v>1500000</v>
      </c>
    </row>
    <row r="137" spans="1:26" ht="15" thickBot="1" x14ac:dyDescent="0.35">
      <c r="A137" s="2" t="s">
        <v>4</v>
      </c>
      <c r="C137" t="s">
        <v>12</v>
      </c>
      <c r="D137" s="9">
        <f>D132-D136</f>
        <v>-6230</v>
      </c>
      <c r="F137" s="9">
        <f>F132-F136</f>
        <v>-14790</v>
      </c>
      <c r="H137" s="11">
        <f t="shared" si="11"/>
        <v>-21020</v>
      </c>
      <c r="J137" t="s">
        <v>29</v>
      </c>
      <c r="K137" t="s">
        <v>40</v>
      </c>
      <c r="M137" s="9">
        <v>1550000</v>
      </c>
      <c r="O137" s="14">
        <v>0</v>
      </c>
      <c r="Q137" s="11">
        <f>M137+O137</f>
        <v>1550000</v>
      </c>
      <c r="S137" s="16" t="s">
        <v>49</v>
      </c>
      <c r="T137" s="16" t="s">
        <v>69</v>
      </c>
      <c r="U137" s="16"/>
      <c r="V137" s="17">
        <v>0</v>
      </c>
      <c r="W137" s="16"/>
      <c r="X137" s="17"/>
      <c r="Y137" s="16"/>
      <c r="Z137" s="17"/>
    </row>
    <row r="138" spans="1:26" x14ac:dyDescent="0.3">
      <c r="A138" s="2">
        <v>9</v>
      </c>
      <c r="C138" t="s">
        <v>13</v>
      </c>
      <c r="D138" s="9">
        <v>0</v>
      </c>
      <c r="F138" s="9">
        <v>0</v>
      </c>
      <c r="H138" s="11">
        <f t="shared" si="11"/>
        <v>0</v>
      </c>
      <c r="J138" t="s">
        <v>31</v>
      </c>
      <c r="K138" t="s">
        <v>41</v>
      </c>
      <c r="M138" s="9">
        <f>M130+M133-M134+M135-M136+M137</f>
        <v>1046630</v>
      </c>
      <c r="O138" s="9">
        <f>O130+O133-O134+O135-O136+O137</f>
        <v>-7960</v>
      </c>
      <c r="Q138" s="11">
        <f>Q130+Q133-Q134+Q135-Q136+Q137</f>
        <v>1038670</v>
      </c>
      <c r="S138" t="s">
        <v>51</v>
      </c>
      <c r="T138" t="s">
        <v>70</v>
      </c>
      <c r="V138" s="20">
        <f>V136-V137</f>
        <v>0</v>
      </c>
      <c r="X138" s="20"/>
      <c r="Z138" s="20">
        <f>Z136-Z137</f>
        <v>1500000</v>
      </c>
    </row>
    <row r="139" spans="1:26" ht="15" thickBot="1" x14ac:dyDescent="0.35">
      <c r="A139" s="2">
        <v>10</v>
      </c>
      <c r="C139" t="s">
        <v>14</v>
      </c>
      <c r="D139" s="9">
        <v>0</v>
      </c>
      <c r="F139" s="9">
        <v>0</v>
      </c>
      <c r="H139" s="11">
        <f t="shared" si="11"/>
        <v>0</v>
      </c>
      <c r="S139" s="18" t="s">
        <v>52</v>
      </c>
      <c r="T139" s="18" t="s">
        <v>71</v>
      </c>
      <c r="U139" s="18"/>
      <c r="V139" s="19">
        <f>V134+V135+V138</f>
        <v>1046630</v>
      </c>
      <c r="W139" s="19"/>
      <c r="X139" s="19">
        <f>X134+X135+X138</f>
        <v>-7960</v>
      </c>
      <c r="Y139" s="18"/>
      <c r="Z139" s="19">
        <f>Z134+Z135+Z138</f>
        <v>2538670</v>
      </c>
    </row>
    <row r="140" spans="1:26" ht="15.6" thickTop="1" thickBot="1" x14ac:dyDescent="0.35">
      <c r="A140" s="6" t="s">
        <v>5</v>
      </c>
      <c r="B140" s="7"/>
      <c r="C140" s="7" t="s">
        <v>15</v>
      </c>
      <c r="D140" s="10">
        <f>D137+D138-D139</f>
        <v>-6230</v>
      </c>
      <c r="E140" s="7"/>
      <c r="F140" s="10">
        <f>F137+F138-F139</f>
        <v>-14790</v>
      </c>
      <c r="G140" s="7"/>
      <c r="H140" s="13">
        <f t="shared" si="11"/>
        <v>-21020</v>
      </c>
      <c r="S140" t="s">
        <v>53</v>
      </c>
      <c r="T140" t="s">
        <v>72</v>
      </c>
      <c r="V140" s="9">
        <v>0</v>
      </c>
      <c r="X140" s="9">
        <v>0</v>
      </c>
      <c r="Z140" s="9">
        <f>SUM(V140,X140)</f>
        <v>0</v>
      </c>
    </row>
    <row r="141" spans="1:26" ht="15" thickTop="1" x14ac:dyDescent="0.3">
      <c r="S141" t="s">
        <v>54</v>
      </c>
      <c r="T141" t="s">
        <v>73</v>
      </c>
      <c r="V141" s="9">
        <v>2860</v>
      </c>
      <c r="X141" s="9">
        <v>6830</v>
      </c>
      <c r="Z141" s="9">
        <f>SUM(V141,X141)</f>
        <v>9690</v>
      </c>
    </row>
    <row r="142" spans="1:26" x14ac:dyDescent="0.3">
      <c r="S142" t="s">
        <v>55</v>
      </c>
      <c r="T142" t="s">
        <v>74</v>
      </c>
      <c r="V142" s="9">
        <v>100000</v>
      </c>
      <c r="Z142" s="9">
        <f>SUM(V142,X142)</f>
        <v>100000</v>
      </c>
    </row>
    <row r="143" spans="1:26" ht="15" thickBot="1" x14ac:dyDescent="0.35">
      <c r="S143" s="16" t="s">
        <v>56</v>
      </c>
      <c r="T143" s="16" t="s">
        <v>75</v>
      </c>
      <c r="U143" s="16"/>
      <c r="V143" s="17">
        <v>0</v>
      </c>
      <c r="W143" s="16"/>
      <c r="X143" s="17">
        <v>0</v>
      </c>
      <c r="Y143" s="16"/>
      <c r="Z143" s="17">
        <f>SUM(V143,X143)</f>
        <v>0</v>
      </c>
    </row>
    <row r="144" spans="1:26" x14ac:dyDescent="0.3">
      <c r="S144" t="s">
        <v>57</v>
      </c>
      <c r="T144" t="s">
        <v>76</v>
      </c>
      <c r="V144" s="9">
        <f>SUM(V140:V143)</f>
        <v>102860</v>
      </c>
      <c r="X144" s="9">
        <f>SUM(X140:X143)</f>
        <v>6830</v>
      </c>
      <c r="Z144" s="9">
        <f>SUM(Z140:Z143)</f>
        <v>109690</v>
      </c>
    </row>
    <row r="145" spans="1:26" x14ac:dyDescent="0.3">
      <c r="S145" t="s">
        <v>58</v>
      </c>
      <c r="T145" t="s">
        <v>77</v>
      </c>
      <c r="V145" s="9">
        <v>900000</v>
      </c>
      <c r="Z145" s="9">
        <f>SUM(V145,X145)</f>
        <v>900000</v>
      </c>
    </row>
    <row r="146" spans="1:26" x14ac:dyDescent="0.3">
      <c r="S146" t="s">
        <v>59</v>
      </c>
      <c r="T146" t="s">
        <v>78</v>
      </c>
      <c r="V146" s="9">
        <v>1550000</v>
      </c>
      <c r="X146" s="9">
        <v>0</v>
      </c>
      <c r="Z146" s="9">
        <f>SUM(V146,X146)</f>
        <v>1550000</v>
      </c>
    </row>
    <row r="147" spans="1:26" ht="15" thickBot="1" x14ac:dyDescent="0.35">
      <c r="S147" s="16" t="s">
        <v>60</v>
      </c>
      <c r="T147" s="16" t="s">
        <v>79</v>
      </c>
      <c r="U147" s="16"/>
      <c r="V147" s="17">
        <v>-6230</v>
      </c>
      <c r="W147" s="16"/>
      <c r="X147" s="17">
        <v>-14790</v>
      </c>
      <c r="Y147" s="16"/>
      <c r="Z147" s="17">
        <f>SUM(V147,X147)</f>
        <v>-21020</v>
      </c>
    </row>
    <row r="148" spans="1:26" x14ac:dyDescent="0.3">
      <c r="S148" t="s">
        <v>61</v>
      </c>
      <c r="T148" t="s">
        <v>80</v>
      </c>
      <c r="V148" s="9">
        <f>V146+V147</f>
        <v>1543770</v>
      </c>
      <c r="X148" s="21">
        <f>X146+X147</f>
        <v>-14790</v>
      </c>
      <c r="Z148" s="9">
        <f>SUM(V148,X148)</f>
        <v>1528980</v>
      </c>
    </row>
    <row r="149" spans="1:26" ht="15" thickBot="1" x14ac:dyDescent="0.35">
      <c r="S149" s="18" t="s">
        <v>62</v>
      </c>
      <c r="T149" s="18" t="s">
        <v>81</v>
      </c>
      <c r="U149" s="18"/>
      <c r="V149" s="19">
        <f>V144+V145+V148</f>
        <v>2546630</v>
      </c>
      <c r="W149" s="19"/>
      <c r="X149" s="19">
        <f>X144+X145+X148</f>
        <v>-7960</v>
      </c>
      <c r="Y149" s="18"/>
      <c r="Z149" s="19">
        <f>SUM(V149,X149)</f>
        <v>2538670</v>
      </c>
    </row>
    <row r="150" spans="1:26" ht="15" thickTop="1" x14ac:dyDescent="0.3">
      <c r="A150" s="29" t="s">
        <v>88</v>
      </c>
      <c r="B150" s="29"/>
      <c r="C150" s="29"/>
      <c r="D150" s="29"/>
    </row>
    <row r="153" spans="1:26" ht="25.8" x14ac:dyDescent="0.3">
      <c r="A153" s="15" t="s">
        <v>21</v>
      </c>
      <c r="B153" s="15"/>
      <c r="C153" s="15"/>
      <c r="D153" s="15"/>
      <c r="E153" s="15"/>
      <c r="F153"/>
      <c r="J153" s="26" t="s">
        <v>22</v>
      </c>
      <c r="K153" s="26"/>
      <c r="L153" s="15"/>
      <c r="M153" s="15"/>
      <c r="N153" s="15"/>
      <c r="S153" s="26" t="s">
        <v>0</v>
      </c>
      <c r="T153" s="26"/>
      <c r="U153" s="26"/>
      <c r="V153" s="26"/>
      <c r="W153" s="26"/>
    </row>
    <row r="154" spans="1:26" ht="12" customHeight="1" x14ac:dyDescent="0.3">
      <c r="A154" s="15"/>
      <c r="B154" s="15"/>
      <c r="C154" s="15"/>
      <c r="D154" s="15"/>
      <c r="E154" s="15"/>
      <c r="F154"/>
      <c r="J154" s="15"/>
      <c r="K154" s="15"/>
      <c r="L154" s="15"/>
      <c r="M154" s="15"/>
      <c r="N154" s="15"/>
      <c r="S154" s="26"/>
      <c r="T154" s="26"/>
      <c r="U154" s="26"/>
      <c r="V154" s="26"/>
      <c r="W154" s="26"/>
    </row>
    <row r="155" spans="1:26" ht="15" thickBot="1" x14ac:dyDescent="0.35">
      <c r="A155" s="1" t="s">
        <v>1</v>
      </c>
      <c r="B155" s="1"/>
      <c r="C155" s="1"/>
      <c r="D155" s="8" t="s">
        <v>16</v>
      </c>
      <c r="E155" s="3" t="s">
        <v>17</v>
      </c>
      <c r="F155" s="8" t="s">
        <v>18</v>
      </c>
      <c r="G155" s="4" t="s">
        <v>19</v>
      </c>
      <c r="H155" s="1" t="s">
        <v>20</v>
      </c>
      <c r="J155" s="1" t="s">
        <v>1</v>
      </c>
      <c r="K155" s="1"/>
      <c r="L155" s="1"/>
      <c r="M155" s="8" t="s">
        <v>16</v>
      </c>
      <c r="N155" s="3" t="s">
        <v>17</v>
      </c>
      <c r="O155" s="8" t="s">
        <v>18</v>
      </c>
      <c r="P155" s="4" t="s">
        <v>19</v>
      </c>
      <c r="Q155" s="1" t="s">
        <v>20</v>
      </c>
      <c r="S155" s="1" t="s">
        <v>1</v>
      </c>
      <c r="T155" s="1"/>
      <c r="U155" s="1"/>
      <c r="V155" s="8" t="s">
        <v>16</v>
      </c>
      <c r="W155" s="3" t="s">
        <v>17</v>
      </c>
      <c r="X155" s="8" t="s">
        <v>18</v>
      </c>
      <c r="Y155" s="4" t="s">
        <v>19</v>
      </c>
      <c r="Z155" s="8" t="s">
        <v>20</v>
      </c>
    </row>
    <row r="156" spans="1:26" x14ac:dyDescent="0.3">
      <c r="A156" s="2">
        <v>1</v>
      </c>
      <c r="C156" t="s">
        <v>6</v>
      </c>
      <c r="D156" s="9">
        <v>0</v>
      </c>
      <c r="F156" s="9">
        <v>0</v>
      </c>
      <c r="H156" s="11">
        <f>D156+F156</f>
        <v>0</v>
      </c>
      <c r="J156" t="s">
        <v>23</v>
      </c>
      <c r="K156" t="s">
        <v>32</v>
      </c>
      <c r="M156" s="9">
        <v>0</v>
      </c>
      <c r="O156" s="9">
        <v>0</v>
      </c>
      <c r="Q156" s="11">
        <v>0</v>
      </c>
      <c r="S156" t="s">
        <v>43</v>
      </c>
      <c r="T156" t="s">
        <v>63</v>
      </c>
      <c r="V156" s="9">
        <v>1038670</v>
      </c>
      <c r="X156" s="9">
        <v>-9690</v>
      </c>
      <c r="Z156" s="9">
        <f>V156+X156</f>
        <v>1028980</v>
      </c>
    </row>
    <row r="157" spans="1:26" ht="15" thickBot="1" x14ac:dyDescent="0.35">
      <c r="A157" s="5">
        <v>2</v>
      </c>
      <c r="B157" s="1"/>
      <c r="C157" s="1" t="s">
        <v>33</v>
      </c>
      <c r="D157" s="8">
        <v>0</v>
      </c>
      <c r="E157" s="1"/>
      <c r="F157" s="8">
        <v>0</v>
      </c>
      <c r="G157" s="1"/>
      <c r="H157" s="12">
        <f t="shared" ref="H157:H166" si="12">D157+F157</f>
        <v>0</v>
      </c>
      <c r="J157" t="s">
        <v>24</v>
      </c>
      <c r="K157" t="s">
        <v>34</v>
      </c>
      <c r="M157" s="9">
        <v>0</v>
      </c>
      <c r="O157" s="9">
        <v>0</v>
      </c>
      <c r="Q157" s="11">
        <f>M157+O157</f>
        <v>0</v>
      </c>
      <c r="S157" t="s">
        <v>46</v>
      </c>
      <c r="T157" t="s">
        <v>64</v>
      </c>
      <c r="V157" s="9">
        <v>0</v>
      </c>
      <c r="X157" s="9">
        <v>0</v>
      </c>
      <c r="Z157" s="9">
        <v>0</v>
      </c>
    </row>
    <row r="158" spans="1:26" ht="15" thickBot="1" x14ac:dyDescent="0.35">
      <c r="A158" s="2" t="s">
        <v>2</v>
      </c>
      <c r="C158" t="s">
        <v>7</v>
      </c>
      <c r="D158" s="9">
        <v>0</v>
      </c>
      <c r="F158" s="9">
        <v>0</v>
      </c>
      <c r="H158" s="11">
        <f t="shared" si="12"/>
        <v>0</v>
      </c>
      <c r="J158" s="1" t="s">
        <v>25</v>
      </c>
      <c r="K158" s="1" t="s">
        <v>35</v>
      </c>
      <c r="L158" s="1"/>
      <c r="M158" s="8">
        <v>11330</v>
      </c>
      <c r="N158" s="1"/>
      <c r="O158" s="8">
        <v>9690</v>
      </c>
      <c r="P158" s="1"/>
      <c r="Q158" s="22">
        <f>M158+O158</f>
        <v>21020</v>
      </c>
      <c r="S158" t="s">
        <v>44</v>
      </c>
      <c r="T158" t="s">
        <v>65</v>
      </c>
      <c r="V158" s="9">
        <v>0</v>
      </c>
      <c r="X158" s="9">
        <v>0</v>
      </c>
      <c r="Z158" s="9">
        <v>0</v>
      </c>
    </row>
    <row r="159" spans="1:26" ht="15" thickBot="1" x14ac:dyDescent="0.35">
      <c r="A159" s="2">
        <v>4</v>
      </c>
      <c r="C159" t="s">
        <v>8</v>
      </c>
      <c r="D159" s="9">
        <v>7680</v>
      </c>
      <c r="H159" s="11">
        <f t="shared" si="12"/>
        <v>7680</v>
      </c>
      <c r="J159" t="s">
        <v>26</v>
      </c>
      <c r="K159" t="s">
        <v>36</v>
      </c>
      <c r="M159" s="9">
        <f>M157-M158</f>
        <v>-11330</v>
      </c>
      <c r="O159" s="14">
        <f>O157-O158</f>
        <v>-9690</v>
      </c>
      <c r="Q159" s="11">
        <f>Q157-Q158</f>
        <v>-21020</v>
      </c>
      <c r="S159" s="16" t="s">
        <v>45</v>
      </c>
      <c r="T159" s="16" t="s">
        <v>82</v>
      </c>
      <c r="U159" s="16"/>
      <c r="V159" s="17">
        <v>0</v>
      </c>
      <c r="W159" s="16"/>
      <c r="X159" s="17">
        <v>0</v>
      </c>
      <c r="Y159" s="16"/>
      <c r="Z159" s="17">
        <v>0</v>
      </c>
    </row>
    <row r="160" spans="1:26" x14ac:dyDescent="0.3">
      <c r="A160" s="2">
        <v>5</v>
      </c>
      <c r="C160" t="s">
        <v>9</v>
      </c>
      <c r="D160" s="9">
        <v>0</v>
      </c>
      <c r="F160" s="9">
        <v>0</v>
      </c>
      <c r="H160" s="11">
        <f t="shared" si="12"/>
        <v>0</v>
      </c>
      <c r="J160" t="s">
        <v>27</v>
      </c>
      <c r="K160" t="s">
        <v>37</v>
      </c>
      <c r="M160" s="9">
        <v>1500000</v>
      </c>
      <c r="O160" s="14"/>
      <c r="Q160" s="11">
        <f>M160+O160</f>
        <v>1500000</v>
      </c>
      <c r="S160" t="s">
        <v>47</v>
      </c>
      <c r="T160" t="s">
        <v>66</v>
      </c>
      <c r="V160" s="9">
        <f>SUM(V156:V159)</f>
        <v>1038670</v>
      </c>
      <c r="X160" s="9">
        <f>SUM(X156:X159)</f>
        <v>-9690</v>
      </c>
      <c r="Z160" s="9">
        <f>SUM(Z156:Z159)</f>
        <v>1028980</v>
      </c>
    </row>
    <row r="161" spans="1:26" ht="15" thickBot="1" x14ac:dyDescent="0.35">
      <c r="A161" s="5">
        <v>6</v>
      </c>
      <c r="B161" s="1"/>
      <c r="C161" s="1" t="s">
        <v>10</v>
      </c>
      <c r="D161" s="8">
        <v>13340</v>
      </c>
      <c r="E161" s="1"/>
      <c r="F161" s="8"/>
      <c r="G161" s="1"/>
      <c r="H161" s="12">
        <f t="shared" si="12"/>
        <v>13340</v>
      </c>
      <c r="J161" t="s">
        <v>30</v>
      </c>
      <c r="K161" t="s">
        <v>38</v>
      </c>
      <c r="M161" s="9">
        <v>1000000</v>
      </c>
      <c r="O161" s="14"/>
      <c r="Q161" s="11">
        <f>M161+O161</f>
        <v>1000000</v>
      </c>
      <c r="S161" t="s">
        <v>50</v>
      </c>
      <c r="T161" t="s">
        <v>67</v>
      </c>
      <c r="V161" s="9">
        <v>0</v>
      </c>
      <c r="X161" s="9">
        <v>0</v>
      </c>
    </row>
    <row r="162" spans="1:26" x14ac:dyDescent="0.3">
      <c r="A162" s="2" t="s">
        <v>3</v>
      </c>
      <c r="C162" t="s">
        <v>11</v>
      </c>
      <c r="D162" s="9">
        <f>SUM(D159:D161)</f>
        <v>21020</v>
      </c>
      <c r="F162" s="9">
        <f>SUM(F159:F161)</f>
        <v>0</v>
      </c>
      <c r="H162" s="11">
        <f t="shared" si="12"/>
        <v>21020</v>
      </c>
      <c r="J162" t="s">
        <v>28</v>
      </c>
      <c r="K162" t="s">
        <v>39</v>
      </c>
      <c r="M162" s="9">
        <v>0</v>
      </c>
      <c r="O162" s="14">
        <v>0</v>
      </c>
      <c r="Q162" s="11">
        <f>M162+O162</f>
        <v>0</v>
      </c>
      <c r="S162" t="s">
        <v>48</v>
      </c>
      <c r="T162" t="s">
        <v>68</v>
      </c>
      <c r="V162" s="9">
        <v>1500000</v>
      </c>
      <c r="Z162" s="9">
        <f>SUM(V162,X162)</f>
        <v>1500000</v>
      </c>
    </row>
    <row r="163" spans="1:26" ht="15" thickBot="1" x14ac:dyDescent="0.35">
      <c r="A163" s="2" t="s">
        <v>4</v>
      </c>
      <c r="C163" t="s">
        <v>12</v>
      </c>
      <c r="D163" s="9">
        <f>D158-D162</f>
        <v>-21020</v>
      </c>
      <c r="F163" s="9">
        <f>F158-F162</f>
        <v>0</v>
      </c>
      <c r="H163" s="11">
        <f t="shared" si="12"/>
        <v>-21020</v>
      </c>
      <c r="J163" t="s">
        <v>29</v>
      </c>
      <c r="K163" t="s">
        <v>40</v>
      </c>
      <c r="M163" s="9">
        <v>1550000</v>
      </c>
      <c r="O163" s="14">
        <v>0</v>
      </c>
      <c r="Q163" s="11">
        <f>M163+O163</f>
        <v>1550000</v>
      </c>
      <c r="S163" s="16" t="s">
        <v>49</v>
      </c>
      <c r="T163" s="16" t="s">
        <v>69</v>
      </c>
      <c r="U163" s="16"/>
      <c r="V163" s="17">
        <v>0</v>
      </c>
      <c r="W163" s="16"/>
      <c r="X163" s="17"/>
      <c r="Y163" s="16"/>
      <c r="Z163" s="17"/>
    </row>
    <row r="164" spans="1:26" x14ac:dyDescent="0.3">
      <c r="A164" s="2">
        <v>9</v>
      </c>
      <c r="C164" t="s">
        <v>13</v>
      </c>
      <c r="D164" s="9">
        <v>0</v>
      </c>
      <c r="F164" s="9">
        <v>0</v>
      </c>
      <c r="H164" s="11">
        <f t="shared" si="12"/>
        <v>0</v>
      </c>
      <c r="J164" t="s">
        <v>31</v>
      </c>
      <c r="K164" t="s">
        <v>41</v>
      </c>
      <c r="M164" s="9">
        <f>M156+M159-M160+M161-M162+M163</f>
        <v>1038670</v>
      </c>
      <c r="O164" s="9">
        <f>O156+O159-O160+O161-O162+O163</f>
        <v>-9690</v>
      </c>
      <c r="Q164" s="11">
        <f>Q156+Q159-Q160+Q161-Q162+Q163</f>
        <v>1028980</v>
      </c>
      <c r="S164" t="s">
        <v>51</v>
      </c>
      <c r="T164" t="s">
        <v>70</v>
      </c>
      <c r="V164" s="20">
        <f>V162-V163</f>
        <v>1500000</v>
      </c>
      <c r="X164" s="20"/>
      <c r="Z164" s="20">
        <f>Z162-Z163</f>
        <v>1500000</v>
      </c>
    </row>
    <row r="165" spans="1:26" ht="15" thickBot="1" x14ac:dyDescent="0.35">
      <c r="A165" s="2">
        <v>10</v>
      </c>
      <c r="C165" t="s">
        <v>14</v>
      </c>
      <c r="D165" s="9">
        <v>0</v>
      </c>
      <c r="F165" s="9">
        <v>0</v>
      </c>
      <c r="H165" s="11">
        <f t="shared" si="12"/>
        <v>0</v>
      </c>
      <c r="S165" s="18" t="s">
        <v>52</v>
      </c>
      <c r="T165" s="18" t="s">
        <v>71</v>
      </c>
      <c r="U165" s="18"/>
      <c r="V165" s="19">
        <f>V160+V161+V164</f>
        <v>2538670</v>
      </c>
      <c r="W165" s="19"/>
      <c r="X165" s="19">
        <f>X160+X161+X164</f>
        <v>-9690</v>
      </c>
      <c r="Y165" s="18"/>
      <c r="Z165" s="19">
        <f>Z160+Z161+Z164</f>
        <v>2528980</v>
      </c>
    </row>
    <row r="166" spans="1:26" ht="15.6" thickTop="1" thickBot="1" x14ac:dyDescent="0.35">
      <c r="A166" s="6" t="s">
        <v>5</v>
      </c>
      <c r="B166" s="7"/>
      <c r="C166" s="7" t="s">
        <v>15</v>
      </c>
      <c r="D166" s="10">
        <f>D163+D164-D165</f>
        <v>-21020</v>
      </c>
      <c r="E166" s="7"/>
      <c r="F166" s="10">
        <f>F163+F164-F165</f>
        <v>0</v>
      </c>
      <c r="G166" s="7"/>
      <c r="H166" s="13">
        <f t="shared" si="12"/>
        <v>-21020</v>
      </c>
      <c r="S166" t="s">
        <v>53</v>
      </c>
      <c r="T166" t="s">
        <v>72</v>
      </c>
      <c r="V166" s="9">
        <v>0</v>
      </c>
      <c r="X166" s="9">
        <v>0</v>
      </c>
      <c r="Z166" s="9">
        <f>SUM(V166,X166)</f>
        <v>0</v>
      </c>
    </row>
    <row r="167" spans="1:26" ht="15" thickTop="1" x14ac:dyDescent="0.3">
      <c r="S167" t="s">
        <v>54</v>
      </c>
      <c r="T167" t="s">
        <v>73</v>
      </c>
      <c r="V167" s="9">
        <v>9690</v>
      </c>
      <c r="X167" s="9">
        <v>-9690</v>
      </c>
      <c r="Z167" s="9">
        <f>SUM(V167,X167)</f>
        <v>0</v>
      </c>
    </row>
    <row r="168" spans="1:26" x14ac:dyDescent="0.3">
      <c r="S168" t="s">
        <v>55</v>
      </c>
      <c r="T168" t="s">
        <v>74</v>
      </c>
      <c r="V168" s="9">
        <v>100000</v>
      </c>
      <c r="Z168" s="9">
        <f>SUM(V168,X168)</f>
        <v>100000</v>
      </c>
    </row>
    <row r="169" spans="1:26" ht="15" thickBot="1" x14ac:dyDescent="0.35">
      <c r="S169" s="16" t="s">
        <v>56</v>
      </c>
      <c r="T169" s="16" t="s">
        <v>75</v>
      </c>
      <c r="U169" s="16"/>
      <c r="V169" s="17">
        <v>0</v>
      </c>
      <c r="W169" s="16"/>
      <c r="X169" s="17">
        <v>0</v>
      </c>
      <c r="Y169" s="16"/>
      <c r="Z169" s="17">
        <f>SUM(V169,X169)</f>
        <v>0</v>
      </c>
    </row>
    <row r="170" spans="1:26" x14ac:dyDescent="0.3">
      <c r="S170" t="s">
        <v>57</v>
      </c>
      <c r="T170" t="s">
        <v>76</v>
      </c>
      <c r="V170" s="9">
        <f>SUM(V166:V169)</f>
        <v>109690</v>
      </c>
      <c r="X170" s="9">
        <f>SUM(X166:X169)</f>
        <v>-9690</v>
      </c>
      <c r="Z170" s="9">
        <f>SUM(Z166:Z169)</f>
        <v>100000</v>
      </c>
    </row>
    <row r="171" spans="1:26" x14ac:dyDescent="0.3">
      <c r="S171" t="s">
        <v>58</v>
      </c>
      <c r="T171" t="s">
        <v>77</v>
      </c>
      <c r="V171" s="9">
        <v>900000</v>
      </c>
      <c r="Z171" s="9">
        <f>SUM(V171,X171)</f>
        <v>900000</v>
      </c>
    </row>
    <row r="172" spans="1:26" x14ac:dyDescent="0.3">
      <c r="S172" t="s">
        <v>59</v>
      </c>
      <c r="T172" t="s">
        <v>78</v>
      </c>
      <c r="V172" s="9">
        <v>1550000</v>
      </c>
      <c r="X172" s="9">
        <v>0</v>
      </c>
      <c r="Z172" s="9">
        <f>SUM(V172,X172)</f>
        <v>1550000</v>
      </c>
    </row>
    <row r="173" spans="1:26" ht="15" thickBot="1" x14ac:dyDescent="0.35">
      <c r="S173" s="16" t="s">
        <v>60</v>
      </c>
      <c r="T173" s="16" t="s">
        <v>79</v>
      </c>
      <c r="U173" s="16"/>
      <c r="V173" s="17">
        <v>-21020</v>
      </c>
      <c r="W173" s="16"/>
      <c r="X173" s="17"/>
      <c r="Y173" s="16"/>
      <c r="Z173" s="17">
        <f>SUM(V173,X173)</f>
        <v>-21020</v>
      </c>
    </row>
    <row r="174" spans="1:26" ht="18" x14ac:dyDescent="0.35">
      <c r="A174" s="30" t="s">
        <v>89</v>
      </c>
      <c r="B174" s="30"/>
      <c r="C174" s="30"/>
      <c r="D174" s="30"/>
      <c r="E174" s="30"/>
      <c r="S174" t="s">
        <v>61</v>
      </c>
      <c r="T174" t="s">
        <v>80</v>
      </c>
      <c r="V174" s="9">
        <f>V172+V173</f>
        <v>1528980</v>
      </c>
      <c r="X174" s="21">
        <f>X172+X173</f>
        <v>0</v>
      </c>
      <c r="Z174" s="9">
        <f>SUM(V174,X174)</f>
        <v>1528980</v>
      </c>
    </row>
    <row r="175" spans="1:26" ht="15" thickBot="1" x14ac:dyDescent="0.35">
      <c r="S175" s="18" t="s">
        <v>62</v>
      </c>
      <c r="T175" s="18" t="s">
        <v>81</v>
      </c>
      <c r="U175" s="18"/>
      <c r="V175" s="19">
        <f>V170+V171+V174</f>
        <v>2538670</v>
      </c>
      <c r="W175" s="19"/>
      <c r="X175" s="19">
        <f>X170+X171+X174</f>
        <v>-9690</v>
      </c>
      <c r="Y175" s="18"/>
      <c r="Z175" s="19">
        <f>SUM(V175,X175)</f>
        <v>2528980</v>
      </c>
    </row>
    <row r="176" spans="1:26" ht="15" thickTop="1" x14ac:dyDescent="0.3"/>
    <row r="177" spans="1:26" ht="11.4" customHeight="1" x14ac:dyDescent="0.3"/>
    <row r="180" spans="1:26" ht="25.8" x14ac:dyDescent="0.3">
      <c r="A180" s="26" t="s">
        <v>21</v>
      </c>
      <c r="B180" s="26"/>
      <c r="C180" s="26"/>
      <c r="D180" s="15"/>
      <c r="E180" s="15"/>
      <c r="F180"/>
      <c r="J180" s="26" t="s">
        <v>22</v>
      </c>
      <c r="K180" s="26"/>
      <c r="L180" s="15"/>
      <c r="M180" s="15"/>
      <c r="N180" s="15"/>
      <c r="S180" s="26" t="s">
        <v>0</v>
      </c>
      <c r="T180" s="26"/>
      <c r="U180" s="26"/>
      <c r="V180" s="26"/>
      <c r="W180" s="26"/>
    </row>
    <row r="181" spans="1:26" ht="12.6" customHeight="1" x14ac:dyDescent="0.3">
      <c r="A181" s="15"/>
      <c r="B181" s="15"/>
      <c r="C181" s="15"/>
      <c r="D181" s="15"/>
      <c r="E181" s="15"/>
      <c r="F181"/>
      <c r="J181" s="15"/>
      <c r="K181" s="15"/>
      <c r="L181" s="15"/>
      <c r="M181" s="15"/>
      <c r="N181" s="15"/>
      <c r="S181" s="26"/>
      <c r="T181" s="26"/>
      <c r="U181" s="26"/>
      <c r="V181" s="26"/>
      <c r="W181" s="26"/>
    </row>
    <row r="182" spans="1:26" ht="15" thickBot="1" x14ac:dyDescent="0.35">
      <c r="A182" s="1" t="s">
        <v>1</v>
      </c>
      <c r="B182" s="1"/>
      <c r="C182" s="1"/>
      <c r="D182" s="8" t="s">
        <v>16</v>
      </c>
      <c r="E182" s="3" t="s">
        <v>17</v>
      </c>
      <c r="F182" s="8" t="s">
        <v>18</v>
      </c>
      <c r="G182" s="4" t="s">
        <v>19</v>
      </c>
      <c r="H182" s="1" t="s">
        <v>20</v>
      </c>
      <c r="J182" s="1" t="s">
        <v>1</v>
      </c>
      <c r="K182" s="1"/>
      <c r="L182" s="1"/>
      <c r="M182" s="8" t="s">
        <v>16</v>
      </c>
      <c r="N182" s="3" t="s">
        <v>17</v>
      </c>
      <c r="O182" s="8" t="s">
        <v>18</v>
      </c>
      <c r="P182" s="4" t="s">
        <v>19</v>
      </c>
      <c r="Q182" s="1" t="s">
        <v>20</v>
      </c>
      <c r="S182" s="1" t="s">
        <v>1</v>
      </c>
      <c r="T182" s="1"/>
      <c r="U182" s="1"/>
      <c r="V182" s="8" t="s">
        <v>16</v>
      </c>
      <c r="W182" s="3" t="s">
        <v>17</v>
      </c>
      <c r="X182" s="8" t="s">
        <v>18</v>
      </c>
      <c r="Y182" s="4" t="s">
        <v>19</v>
      </c>
      <c r="Z182" s="8" t="s">
        <v>20</v>
      </c>
    </row>
    <row r="183" spans="1:26" x14ac:dyDescent="0.3">
      <c r="A183" s="2">
        <v>1</v>
      </c>
      <c r="C183" t="s">
        <v>6</v>
      </c>
      <c r="D183" s="9">
        <v>0</v>
      </c>
      <c r="F183" s="9">
        <v>0</v>
      </c>
      <c r="H183" s="11">
        <f>D183+F183</f>
        <v>0</v>
      </c>
      <c r="J183" t="s">
        <v>23</v>
      </c>
      <c r="K183" t="s">
        <v>32</v>
      </c>
      <c r="M183" s="9">
        <v>0</v>
      </c>
      <c r="O183" s="9">
        <v>0</v>
      </c>
      <c r="Q183" s="11">
        <v>0</v>
      </c>
      <c r="S183" t="s">
        <v>43</v>
      </c>
      <c r="T183" t="s">
        <v>63</v>
      </c>
      <c r="V183" s="9">
        <v>1028980</v>
      </c>
      <c r="X183" s="9">
        <v>-125000</v>
      </c>
      <c r="Z183" s="9">
        <f>V183+X183</f>
        <v>903980</v>
      </c>
    </row>
    <row r="184" spans="1:26" ht="15" thickBot="1" x14ac:dyDescent="0.35">
      <c r="A184" s="5">
        <v>2</v>
      </c>
      <c r="B184" s="1"/>
      <c r="C184" s="1" t="s">
        <v>33</v>
      </c>
      <c r="D184" s="8">
        <v>0</v>
      </c>
      <c r="E184" s="1"/>
      <c r="F184" s="8">
        <v>0</v>
      </c>
      <c r="G184" s="1"/>
      <c r="H184" s="12">
        <f t="shared" ref="H184:H193" si="13">D184+F184</f>
        <v>0</v>
      </c>
      <c r="J184" t="s">
        <v>24</v>
      </c>
      <c r="K184" t="s">
        <v>34</v>
      </c>
      <c r="M184" s="9">
        <v>0</v>
      </c>
      <c r="O184" s="9">
        <v>0</v>
      </c>
      <c r="Q184" s="11">
        <f>M184+O184</f>
        <v>0</v>
      </c>
      <c r="S184" t="s">
        <v>46</v>
      </c>
      <c r="T184" t="s">
        <v>64</v>
      </c>
      <c r="V184" s="9">
        <v>0</v>
      </c>
      <c r="X184" s="9">
        <v>0</v>
      </c>
      <c r="Z184" s="9">
        <v>0</v>
      </c>
    </row>
    <row r="185" spans="1:26" ht="15" thickBot="1" x14ac:dyDescent="0.35">
      <c r="A185" s="2" t="s">
        <v>2</v>
      </c>
      <c r="C185" t="s">
        <v>7</v>
      </c>
      <c r="D185" s="9">
        <v>0</v>
      </c>
      <c r="F185" s="9">
        <v>0</v>
      </c>
      <c r="H185" s="11">
        <f t="shared" si="13"/>
        <v>0</v>
      </c>
      <c r="J185" s="1" t="s">
        <v>25</v>
      </c>
      <c r="K185" s="1" t="s">
        <v>35</v>
      </c>
      <c r="L185" s="1"/>
      <c r="M185" s="8">
        <v>21020</v>
      </c>
      <c r="N185" s="1"/>
      <c r="O185" s="8"/>
      <c r="P185" s="1"/>
      <c r="Q185" s="22">
        <f>M185+O185</f>
        <v>21020</v>
      </c>
      <c r="S185" t="s">
        <v>44</v>
      </c>
      <c r="T185" t="s">
        <v>65</v>
      </c>
      <c r="V185" s="9">
        <v>0</v>
      </c>
      <c r="X185" s="9">
        <v>0</v>
      </c>
      <c r="Z185" s="9">
        <v>0</v>
      </c>
    </row>
    <row r="186" spans="1:26" ht="15" thickBot="1" x14ac:dyDescent="0.35">
      <c r="A186" s="2">
        <v>4</v>
      </c>
      <c r="C186" t="s">
        <v>8</v>
      </c>
      <c r="D186" s="9">
        <v>7680</v>
      </c>
      <c r="H186" s="11">
        <f t="shared" si="13"/>
        <v>7680</v>
      </c>
      <c r="J186" t="s">
        <v>26</v>
      </c>
      <c r="K186" t="s">
        <v>36</v>
      </c>
      <c r="M186" s="9">
        <f>M184-M185</f>
        <v>-21020</v>
      </c>
      <c r="O186" s="14">
        <f>O184-O185</f>
        <v>0</v>
      </c>
      <c r="Q186" s="11">
        <f>Q184-Q185</f>
        <v>-21020</v>
      </c>
      <c r="S186" s="16" t="s">
        <v>45</v>
      </c>
      <c r="T186" s="16" t="s">
        <v>82</v>
      </c>
      <c r="U186" s="16"/>
      <c r="V186" s="17">
        <v>0</v>
      </c>
      <c r="W186" s="16"/>
      <c r="X186" s="17">
        <v>0</v>
      </c>
      <c r="Y186" s="16"/>
      <c r="Z186" s="17">
        <v>0</v>
      </c>
    </row>
    <row r="187" spans="1:26" x14ac:dyDescent="0.3">
      <c r="A187" s="2">
        <v>5</v>
      </c>
      <c r="C187" t="s">
        <v>9</v>
      </c>
      <c r="D187" s="9">
        <v>0</v>
      </c>
      <c r="F187" s="9">
        <v>0</v>
      </c>
      <c r="H187" s="11">
        <f t="shared" si="13"/>
        <v>0</v>
      </c>
      <c r="J187" t="s">
        <v>27</v>
      </c>
      <c r="K187" t="s">
        <v>37</v>
      </c>
      <c r="M187" s="9">
        <v>1500000</v>
      </c>
      <c r="O187" s="14">
        <v>125000</v>
      </c>
      <c r="Q187" s="11">
        <f>M187+O187</f>
        <v>1625000</v>
      </c>
      <c r="S187" t="s">
        <v>47</v>
      </c>
      <c r="T187" t="s">
        <v>66</v>
      </c>
      <c r="V187" s="9">
        <f>SUM(V183:V186)</f>
        <v>1028980</v>
      </c>
      <c r="X187" s="9">
        <f>SUM(X183:X186)</f>
        <v>-125000</v>
      </c>
      <c r="Z187" s="9">
        <f>SUM(Z183:Z186)</f>
        <v>903980</v>
      </c>
    </row>
    <row r="188" spans="1:26" ht="15" thickBot="1" x14ac:dyDescent="0.35">
      <c r="A188" s="5">
        <v>6</v>
      </c>
      <c r="B188" s="1"/>
      <c r="C188" s="1" t="s">
        <v>10</v>
      </c>
      <c r="D188" s="8">
        <v>13340</v>
      </c>
      <c r="E188" s="1"/>
      <c r="F188" s="8"/>
      <c r="G188" s="1"/>
      <c r="H188" s="12">
        <f t="shared" si="13"/>
        <v>13340</v>
      </c>
      <c r="J188" t="s">
        <v>30</v>
      </c>
      <c r="K188" t="s">
        <v>38</v>
      </c>
      <c r="M188" s="9">
        <v>1000000</v>
      </c>
      <c r="O188" s="14"/>
      <c r="Q188" s="11">
        <f>M188+O188</f>
        <v>1000000</v>
      </c>
      <c r="S188" t="s">
        <v>50</v>
      </c>
      <c r="T188" t="s">
        <v>67</v>
      </c>
      <c r="V188" s="9">
        <v>0</v>
      </c>
      <c r="X188" s="9">
        <v>125000</v>
      </c>
    </row>
    <row r="189" spans="1:26" x14ac:dyDescent="0.3">
      <c r="A189" s="2" t="s">
        <v>3</v>
      </c>
      <c r="C189" t="s">
        <v>11</v>
      </c>
      <c r="D189" s="9">
        <f>SUM(D186:D188)</f>
        <v>21020</v>
      </c>
      <c r="F189" s="9">
        <f>SUM(F186:F188)</f>
        <v>0</v>
      </c>
      <c r="H189" s="11">
        <f t="shared" si="13"/>
        <v>21020</v>
      </c>
      <c r="J189" t="s">
        <v>28</v>
      </c>
      <c r="K189" t="s">
        <v>39</v>
      </c>
      <c r="M189" s="9">
        <v>0</v>
      </c>
      <c r="O189" s="14">
        <v>0</v>
      </c>
      <c r="Q189" s="11">
        <f>M189+O189</f>
        <v>0</v>
      </c>
      <c r="S189" t="s">
        <v>48</v>
      </c>
      <c r="T189" t="s">
        <v>68</v>
      </c>
      <c r="V189" s="9">
        <v>1500000</v>
      </c>
      <c r="Z189" s="9">
        <f>SUM(V189,X189)</f>
        <v>1500000</v>
      </c>
    </row>
    <row r="190" spans="1:26" ht="15" thickBot="1" x14ac:dyDescent="0.35">
      <c r="A190" s="2" t="s">
        <v>4</v>
      </c>
      <c r="C190" t="s">
        <v>12</v>
      </c>
      <c r="D190" s="9">
        <f>D185-D189</f>
        <v>-21020</v>
      </c>
      <c r="F190" s="9">
        <f>F185-F189</f>
        <v>0</v>
      </c>
      <c r="H190" s="11">
        <f t="shared" si="13"/>
        <v>-21020</v>
      </c>
      <c r="J190" t="s">
        <v>29</v>
      </c>
      <c r="K190" t="s">
        <v>40</v>
      </c>
      <c r="M190" s="9">
        <v>1550000</v>
      </c>
      <c r="O190" s="14">
        <v>0</v>
      </c>
      <c r="Q190" s="11">
        <f>M190+O190</f>
        <v>1550000</v>
      </c>
      <c r="S190" s="16" t="s">
        <v>49</v>
      </c>
      <c r="T190" s="16" t="s">
        <v>69</v>
      </c>
      <c r="U190" s="16"/>
      <c r="V190" s="17">
        <v>0</v>
      </c>
      <c r="W190" s="16"/>
      <c r="X190" s="17"/>
      <c r="Y190" s="16"/>
      <c r="Z190" s="17"/>
    </row>
    <row r="191" spans="1:26" x14ac:dyDescent="0.3">
      <c r="A191" s="2">
        <v>9</v>
      </c>
      <c r="C191" t="s">
        <v>13</v>
      </c>
      <c r="D191" s="9">
        <v>0</v>
      </c>
      <c r="F191" s="9">
        <v>0</v>
      </c>
      <c r="H191" s="11">
        <f t="shared" si="13"/>
        <v>0</v>
      </c>
      <c r="J191" t="s">
        <v>31</v>
      </c>
      <c r="K191" t="s">
        <v>41</v>
      </c>
      <c r="M191" s="9">
        <f>M183+M186-M187+M188-M189+M190</f>
        <v>1028980</v>
      </c>
      <c r="O191" s="9">
        <f>O183+O186-O187+O188-O189+O190</f>
        <v>-125000</v>
      </c>
      <c r="Q191" s="11">
        <f>Q183+Q186-Q187+Q188-Q189+Q190</f>
        <v>903980</v>
      </c>
      <c r="S191" t="s">
        <v>51</v>
      </c>
      <c r="T191" t="s">
        <v>70</v>
      </c>
      <c r="V191" s="20">
        <f>V189-V190</f>
        <v>1500000</v>
      </c>
      <c r="X191" s="20"/>
      <c r="Z191" s="20">
        <f>Z189-Z190</f>
        <v>1500000</v>
      </c>
    </row>
    <row r="192" spans="1:26" ht="15" thickBot="1" x14ac:dyDescent="0.35">
      <c r="A192" s="2">
        <v>10</v>
      </c>
      <c r="C192" t="s">
        <v>14</v>
      </c>
      <c r="D192" s="9">
        <v>0</v>
      </c>
      <c r="F192" s="9">
        <v>0</v>
      </c>
      <c r="H192" s="11">
        <f t="shared" si="13"/>
        <v>0</v>
      </c>
      <c r="S192" s="18" t="s">
        <v>52</v>
      </c>
      <c r="T192" s="18" t="s">
        <v>71</v>
      </c>
      <c r="U192" s="18"/>
      <c r="V192" s="19">
        <f>V187+V188+V191</f>
        <v>2528980</v>
      </c>
      <c r="W192" s="19"/>
      <c r="X192" s="19">
        <f>X187+X188+X191</f>
        <v>0</v>
      </c>
      <c r="Y192" s="18"/>
      <c r="Z192" s="19">
        <f>Z187+Z188+Z191</f>
        <v>2403980</v>
      </c>
    </row>
    <row r="193" spans="1:26" ht="15.6" thickTop="1" thickBot="1" x14ac:dyDescent="0.35">
      <c r="A193" s="6" t="s">
        <v>5</v>
      </c>
      <c r="B193" s="7"/>
      <c r="C193" s="7" t="s">
        <v>15</v>
      </c>
      <c r="D193" s="10">
        <f>D190+D191-D192</f>
        <v>-21020</v>
      </c>
      <c r="E193" s="7"/>
      <c r="F193" s="10">
        <f>F190+F191-F192</f>
        <v>0</v>
      </c>
      <c r="G193" s="7"/>
      <c r="H193" s="13">
        <f t="shared" si="13"/>
        <v>-21020</v>
      </c>
      <c r="S193" t="s">
        <v>53</v>
      </c>
      <c r="T193" t="s">
        <v>72</v>
      </c>
      <c r="V193" s="9">
        <v>0</v>
      </c>
      <c r="X193" s="9">
        <v>0</v>
      </c>
      <c r="Z193" s="9">
        <f>SUM(V193,X193)</f>
        <v>0</v>
      </c>
    </row>
    <row r="194" spans="1:26" ht="15" thickTop="1" x14ac:dyDescent="0.3">
      <c r="S194" t="s">
        <v>54</v>
      </c>
      <c r="T194" t="s">
        <v>73</v>
      </c>
      <c r="V194" s="9">
        <v>9690</v>
      </c>
      <c r="Z194" s="9">
        <f>SUM(V194,X194)</f>
        <v>9690</v>
      </c>
    </row>
    <row r="195" spans="1:26" x14ac:dyDescent="0.3">
      <c r="S195" t="s">
        <v>55</v>
      </c>
      <c r="T195" t="s">
        <v>74</v>
      </c>
      <c r="V195" s="9">
        <v>100000</v>
      </c>
      <c r="Z195" s="9">
        <f>SUM(V195,X195)</f>
        <v>100000</v>
      </c>
    </row>
    <row r="196" spans="1:26" ht="15" thickBot="1" x14ac:dyDescent="0.35">
      <c r="S196" s="16" t="s">
        <v>56</v>
      </c>
      <c r="T196" s="16" t="s">
        <v>75</v>
      </c>
      <c r="U196" s="16"/>
      <c r="V196" s="17">
        <v>0</v>
      </c>
      <c r="W196" s="16"/>
      <c r="X196" s="17">
        <v>0</v>
      </c>
      <c r="Y196" s="16"/>
      <c r="Z196" s="17">
        <f>SUM(V196,X196)</f>
        <v>0</v>
      </c>
    </row>
    <row r="197" spans="1:26" x14ac:dyDescent="0.3">
      <c r="S197" t="s">
        <v>57</v>
      </c>
      <c r="T197" t="s">
        <v>76</v>
      </c>
      <c r="V197" s="9">
        <v>100000</v>
      </c>
      <c r="X197" s="9">
        <f>SUM(X193:X196)</f>
        <v>0</v>
      </c>
      <c r="Z197" s="9">
        <f>SUM(Z193:Z196)</f>
        <v>109690</v>
      </c>
    </row>
    <row r="198" spans="1:26" x14ac:dyDescent="0.3">
      <c r="S198" t="s">
        <v>58</v>
      </c>
      <c r="T198" t="s">
        <v>77</v>
      </c>
      <c r="V198" s="9">
        <v>900000</v>
      </c>
      <c r="Z198" s="9">
        <f>SUM(V198,X198)</f>
        <v>900000</v>
      </c>
    </row>
    <row r="199" spans="1:26" x14ac:dyDescent="0.3">
      <c r="S199" t="s">
        <v>59</v>
      </c>
      <c r="T199" t="s">
        <v>78</v>
      </c>
      <c r="V199" s="9">
        <v>1550000</v>
      </c>
      <c r="X199" s="9">
        <v>0</v>
      </c>
      <c r="Z199" s="9">
        <f>SUM(V199,X199)</f>
        <v>1550000</v>
      </c>
    </row>
    <row r="200" spans="1:26" ht="15" thickBot="1" x14ac:dyDescent="0.35">
      <c r="S200" s="16" t="s">
        <v>60</v>
      </c>
      <c r="T200" s="16" t="s">
        <v>79</v>
      </c>
      <c r="U200" s="16"/>
      <c r="V200" s="17">
        <v>-21020</v>
      </c>
      <c r="W200" s="16"/>
      <c r="X200" s="17"/>
      <c r="Y200" s="16"/>
      <c r="Z200" s="17">
        <f>SUM(V200,X200)</f>
        <v>-21020</v>
      </c>
    </row>
    <row r="201" spans="1:26" x14ac:dyDescent="0.3">
      <c r="S201" t="s">
        <v>61</v>
      </c>
      <c r="T201" t="s">
        <v>80</v>
      </c>
      <c r="V201" s="9">
        <f>V199+V200</f>
        <v>1528980</v>
      </c>
      <c r="X201" s="21">
        <f>X199+X200</f>
        <v>0</v>
      </c>
      <c r="Z201" s="9">
        <f>SUM(V201,X201)</f>
        <v>1528980</v>
      </c>
    </row>
    <row r="202" spans="1:26" ht="15" thickBot="1" x14ac:dyDescent="0.35">
      <c r="S202" s="18" t="s">
        <v>62</v>
      </c>
      <c r="T202" s="18" t="s">
        <v>81</v>
      </c>
      <c r="U202" s="18"/>
      <c r="V202" s="19">
        <f>V197+V198+V201</f>
        <v>2528980</v>
      </c>
      <c r="W202" s="19"/>
      <c r="X202" s="19">
        <f>X197+X198+X201</f>
        <v>0</v>
      </c>
      <c r="Y202" s="18"/>
      <c r="Z202" s="19">
        <f>SUM(V202,X202)</f>
        <v>2528980</v>
      </c>
    </row>
    <row r="203" spans="1:26" ht="15" thickTop="1" x14ac:dyDescent="0.3"/>
    <row r="205" spans="1:26" x14ac:dyDescent="0.3">
      <c r="A205" s="27" t="s">
        <v>90</v>
      </c>
      <c r="B205" s="27"/>
      <c r="C205" s="27"/>
      <c r="D205" s="27"/>
      <c r="E205" s="27"/>
    </row>
    <row r="207" spans="1:26" ht="25.8" x14ac:dyDescent="0.3">
      <c r="A207" s="26" t="s">
        <v>21</v>
      </c>
      <c r="B207" s="26"/>
      <c r="C207" s="26"/>
      <c r="D207" s="15"/>
      <c r="E207" s="15"/>
      <c r="F207"/>
      <c r="J207" s="26" t="s">
        <v>22</v>
      </c>
      <c r="K207" s="26"/>
      <c r="L207" s="15"/>
      <c r="M207" s="15"/>
      <c r="N207" s="15"/>
      <c r="S207" s="26" t="s">
        <v>0</v>
      </c>
      <c r="T207" s="26"/>
      <c r="U207" s="26"/>
      <c r="V207" s="26"/>
      <c r="W207" s="26"/>
    </row>
    <row r="208" spans="1:26" ht="13.8" customHeight="1" x14ac:dyDescent="0.3">
      <c r="A208" s="15"/>
      <c r="B208" s="15"/>
      <c r="C208" s="15"/>
      <c r="D208" s="15"/>
      <c r="E208" s="15"/>
      <c r="F208"/>
      <c r="J208" s="15"/>
      <c r="K208" s="15"/>
      <c r="L208" s="15"/>
      <c r="M208" s="15"/>
      <c r="N208" s="15"/>
      <c r="S208" s="26"/>
      <c r="T208" s="26"/>
      <c r="U208" s="26"/>
      <c r="V208" s="26"/>
      <c r="W208" s="26"/>
    </row>
    <row r="209" spans="1:26" ht="15" thickBot="1" x14ac:dyDescent="0.35">
      <c r="A209" s="1" t="s">
        <v>1</v>
      </c>
      <c r="B209" s="1"/>
      <c r="C209" s="1"/>
      <c r="D209" s="8" t="s">
        <v>16</v>
      </c>
      <c r="E209" s="3" t="s">
        <v>17</v>
      </c>
      <c r="F209" s="8" t="s">
        <v>18</v>
      </c>
      <c r="G209" s="4" t="s">
        <v>19</v>
      </c>
      <c r="H209" s="1" t="s">
        <v>20</v>
      </c>
      <c r="J209" s="1" t="s">
        <v>1</v>
      </c>
      <c r="K209" s="1"/>
      <c r="L209" s="1"/>
      <c r="M209" s="8" t="s">
        <v>16</v>
      </c>
      <c r="N209" s="3" t="s">
        <v>17</v>
      </c>
      <c r="O209" s="8" t="s">
        <v>18</v>
      </c>
      <c r="P209" s="4" t="s">
        <v>19</v>
      </c>
      <c r="Q209" s="1" t="s">
        <v>20</v>
      </c>
      <c r="S209" s="1" t="s">
        <v>1</v>
      </c>
      <c r="T209" s="1"/>
      <c r="U209" s="1"/>
      <c r="V209" s="8" t="s">
        <v>16</v>
      </c>
      <c r="W209" s="3" t="s">
        <v>17</v>
      </c>
      <c r="X209" s="8" t="s">
        <v>18</v>
      </c>
      <c r="Y209" s="4" t="s">
        <v>19</v>
      </c>
      <c r="Z209" s="8" t="s">
        <v>20</v>
      </c>
    </row>
    <row r="210" spans="1:26" x14ac:dyDescent="0.3">
      <c r="A210" s="2">
        <v>1</v>
      </c>
      <c r="C210" t="s">
        <v>6</v>
      </c>
      <c r="D210" s="9">
        <v>0</v>
      </c>
      <c r="F210" s="9">
        <v>0</v>
      </c>
      <c r="H210" s="11">
        <f>D210+F210</f>
        <v>0</v>
      </c>
      <c r="J210" t="s">
        <v>23</v>
      </c>
      <c r="K210" t="s">
        <v>32</v>
      </c>
      <c r="M210" s="9">
        <v>0</v>
      </c>
      <c r="O210" s="9">
        <v>0</v>
      </c>
      <c r="Q210" s="11">
        <v>0</v>
      </c>
      <c r="S210" t="s">
        <v>43</v>
      </c>
      <c r="T210" t="s">
        <v>63</v>
      </c>
      <c r="V210" s="9">
        <v>903980</v>
      </c>
      <c r="X210" s="9">
        <v>-125000</v>
      </c>
      <c r="Z210" s="9">
        <f>V210+X210</f>
        <v>778980</v>
      </c>
    </row>
    <row r="211" spans="1:26" ht="15" thickBot="1" x14ac:dyDescent="0.35">
      <c r="A211" s="5">
        <v>2</v>
      </c>
      <c r="B211" s="1"/>
      <c r="C211" s="1" t="s">
        <v>33</v>
      </c>
      <c r="D211" s="8">
        <v>0</v>
      </c>
      <c r="E211" s="1"/>
      <c r="F211" s="8">
        <v>0</v>
      </c>
      <c r="G211" s="1"/>
      <c r="H211" s="12">
        <f t="shared" ref="H211:H220" si="14">D211+F211</f>
        <v>0</v>
      </c>
      <c r="J211" t="s">
        <v>24</v>
      </c>
      <c r="K211" t="s">
        <v>34</v>
      </c>
      <c r="M211" s="9">
        <v>0</v>
      </c>
      <c r="O211" s="9">
        <v>0</v>
      </c>
      <c r="Q211" s="11">
        <f>M211+O211</f>
        <v>0</v>
      </c>
      <c r="S211" t="s">
        <v>46</v>
      </c>
      <c r="T211" t="s">
        <v>64</v>
      </c>
      <c r="V211" s="9">
        <v>0</v>
      </c>
      <c r="X211" s="9">
        <v>0</v>
      </c>
      <c r="Z211" s="9">
        <v>0</v>
      </c>
    </row>
    <row r="212" spans="1:26" ht="15" thickBot="1" x14ac:dyDescent="0.35">
      <c r="A212" s="2" t="s">
        <v>2</v>
      </c>
      <c r="C212" t="s">
        <v>7</v>
      </c>
      <c r="D212" s="9">
        <v>0</v>
      </c>
      <c r="F212" s="9">
        <v>0</v>
      </c>
      <c r="H212" s="11">
        <f t="shared" si="14"/>
        <v>0</v>
      </c>
      <c r="J212" s="1" t="s">
        <v>25</v>
      </c>
      <c r="K212" s="1" t="s">
        <v>35</v>
      </c>
      <c r="L212" s="1"/>
      <c r="M212" s="8">
        <v>21020</v>
      </c>
      <c r="N212" s="1"/>
      <c r="O212" s="8"/>
      <c r="P212" s="1"/>
      <c r="Q212" s="22">
        <f>M212+O212</f>
        <v>21020</v>
      </c>
      <c r="S212" t="s">
        <v>44</v>
      </c>
      <c r="T212" t="s">
        <v>65</v>
      </c>
      <c r="V212" s="9">
        <v>0</v>
      </c>
      <c r="X212" s="9">
        <v>0</v>
      </c>
      <c r="Z212" s="9">
        <v>0</v>
      </c>
    </row>
    <row r="213" spans="1:26" ht="15" thickBot="1" x14ac:dyDescent="0.35">
      <c r="A213" s="2">
        <v>4</v>
      </c>
      <c r="C213" t="s">
        <v>8</v>
      </c>
      <c r="D213" s="9">
        <v>7680</v>
      </c>
      <c r="H213" s="11">
        <f t="shared" si="14"/>
        <v>7680</v>
      </c>
      <c r="J213" t="s">
        <v>26</v>
      </c>
      <c r="K213" t="s">
        <v>36</v>
      </c>
      <c r="M213" s="9">
        <f>M211-M212</f>
        <v>-21020</v>
      </c>
      <c r="O213" s="14">
        <f>O211-O212</f>
        <v>0</v>
      </c>
      <c r="Q213" s="11">
        <f>Q211-Q212</f>
        <v>-21020</v>
      </c>
      <c r="S213" s="16" t="s">
        <v>45</v>
      </c>
      <c r="T213" s="16" t="s">
        <v>82</v>
      </c>
      <c r="U213" s="16"/>
      <c r="V213" s="17">
        <v>0</v>
      </c>
      <c r="W213" s="16"/>
      <c r="X213" s="17">
        <v>0</v>
      </c>
      <c r="Y213" s="16"/>
      <c r="Z213" s="17">
        <v>0</v>
      </c>
    </row>
    <row r="214" spans="1:26" x14ac:dyDescent="0.3">
      <c r="A214" s="2">
        <v>5</v>
      </c>
      <c r="C214" t="s">
        <v>9</v>
      </c>
      <c r="D214" s="9">
        <v>0</v>
      </c>
      <c r="F214" s="9">
        <v>0</v>
      </c>
      <c r="H214" s="11">
        <f t="shared" si="14"/>
        <v>0</v>
      </c>
      <c r="J214" t="s">
        <v>27</v>
      </c>
      <c r="K214" t="s">
        <v>37</v>
      </c>
      <c r="M214" s="9">
        <v>1625000</v>
      </c>
      <c r="O214" s="14">
        <v>125000</v>
      </c>
      <c r="Q214" s="11">
        <f>M214+O214</f>
        <v>1750000</v>
      </c>
      <c r="S214" t="s">
        <v>47</v>
      </c>
      <c r="T214" t="s">
        <v>66</v>
      </c>
      <c r="V214" s="9">
        <f>SUM(V210:V213)</f>
        <v>903980</v>
      </c>
      <c r="X214" s="9">
        <f>SUM(X210:X213)</f>
        <v>-125000</v>
      </c>
      <c r="Z214" s="9">
        <f>SUM(Z210:Z213)</f>
        <v>778980</v>
      </c>
    </row>
    <row r="215" spans="1:26" ht="15" thickBot="1" x14ac:dyDescent="0.35">
      <c r="A215" s="5">
        <v>6</v>
      </c>
      <c r="B215" s="1"/>
      <c r="C215" s="1" t="s">
        <v>10</v>
      </c>
      <c r="D215" s="8">
        <v>13340</v>
      </c>
      <c r="E215" s="1"/>
      <c r="F215" s="8"/>
      <c r="G215" s="1"/>
      <c r="H215" s="12">
        <f t="shared" si="14"/>
        <v>13340</v>
      </c>
      <c r="J215" t="s">
        <v>30</v>
      </c>
      <c r="K215" t="s">
        <v>38</v>
      </c>
      <c r="M215" s="9">
        <v>1000000</v>
      </c>
      <c r="O215" s="14"/>
      <c r="Q215" s="11">
        <f>M215+O215</f>
        <v>1000000</v>
      </c>
      <c r="S215" t="s">
        <v>50</v>
      </c>
      <c r="T215" t="s">
        <v>67</v>
      </c>
      <c r="V215" s="9">
        <v>125000</v>
      </c>
      <c r="X215" s="9">
        <v>-125000</v>
      </c>
      <c r="Z215" s="9">
        <f>SUM(V215,X215)</f>
        <v>0</v>
      </c>
    </row>
    <row r="216" spans="1:26" x14ac:dyDescent="0.3">
      <c r="A216" s="2" t="s">
        <v>3</v>
      </c>
      <c r="C216" t="s">
        <v>11</v>
      </c>
      <c r="D216" s="9">
        <f>SUM(D213:D215)</f>
        <v>21020</v>
      </c>
      <c r="F216" s="9">
        <f>SUM(F213:F215)</f>
        <v>0</v>
      </c>
      <c r="H216" s="11">
        <f t="shared" si="14"/>
        <v>21020</v>
      </c>
      <c r="J216" t="s">
        <v>28</v>
      </c>
      <c r="K216" t="s">
        <v>39</v>
      </c>
      <c r="M216" s="9">
        <v>0</v>
      </c>
      <c r="O216" s="14">
        <v>0</v>
      </c>
      <c r="Q216" s="11">
        <f>M216+O216</f>
        <v>0</v>
      </c>
      <c r="S216" t="s">
        <v>48</v>
      </c>
      <c r="T216" t="s">
        <v>68</v>
      </c>
      <c r="V216" s="9">
        <v>1500000</v>
      </c>
      <c r="X216" s="9">
        <v>250000</v>
      </c>
      <c r="Z216" s="9">
        <f>SUM(V216,X216)</f>
        <v>1750000</v>
      </c>
    </row>
    <row r="217" spans="1:26" ht="15" thickBot="1" x14ac:dyDescent="0.35">
      <c r="A217" s="2" t="s">
        <v>4</v>
      </c>
      <c r="C217" t="s">
        <v>12</v>
      </c>
      <c r="D217" s="9">
        <f>D212-D216</f>
        <v>-21020</v>
      </c>
      <c r="F217" s="9">
        <f>F212-F216</f>
        <v>0</v>
      </c>
      <c r="H217" s="11">
        <f t="shared" si="14"/>
        <v>-21020</v>
      </c>
      <c r="J217" t="s">
        <v>29</v>
      </c>
      <c r="K217" t="s">
        <v>40</v>
      </c>
      <c r="M217" s="9">
        <v>1550000</v>
      </c>
      <c r="O217" s="14">
        <v>0</v>
      </c>
      <c r="Q217" s="11">
        <f>M217+O217</f>
        <v>1550000</v>
      </c>
      <c r="S217" s="16" t="s">
        <v>49</v>
      </c>
      <c r="T217" s="16" t="s">
        <v>69</v>
      </c>
      <c r="U217" s="16"/>
      <c r="V217" s="17">
        <v>0</v>
      </c>
      <c r="W217" s="16"/>
      <c r="X217" s="17"/>
      <c r="Y217" s="16"/>
      <c r="Z217" s="17"/>
    </row>
    <row r="218" spans="1:26" x14ac:dyDescent="0.3">
      <c r="A218" s="2">
        <v>9</v>
      </c>
      <c r="C218" t="s">
        <v>13</v>
      </c>
      <c r="D218" s="9">
        <v>0</v>
      </c>
      <c r="F218" s="9">
        <v>0</v>
      </c>
      <c r="H218" s="11">
        <f t="shared" si="14"/>
        <v>0</v>
      </c>
      <c r="J218" t="s">
        <v>31</v>
      </c>
      <c r="K218" t="s">
        <v>41</v>
      </c>
      <c r="M218" s="9">
        <f>M210+M213-M214+M215-M216+M217</f>
        <v>903980</v>
      </c>
      <c r="O218" s="9">
        <f>O210+O213-O214+O215-O216+O217</f>
        <v>-125000</v>
      </c>
      <c r="Q218" s="11">
        <f>Q210+Q213-Q214+Q215-Q216+Q217</f>
        <v>778980</v>
      </c>
      <c r="S218" t="s">
        <v>51</v>
      </c>
      <c r="T218" t="s">
        <v>70</v>
      </c>
      <c r="V218" s="20">
        <f>V216-V217</f>
        <v>1500000</v>
      </c>
      <c r="X218" s="20"/>
      <c r="Z218" s="20">
        <f>Z216-Z217</f>
        <v>1750000</v>
      </c>
    </row>
    <row r="219" spans="1:26" ht="15" thickBot="1" x14ac:dyDescent="0.35">
      <c r="A219" s="2">
        <v>10</v>
      </c>
      <c r="C219" t="s">
        <v>14</v>
      </c>
      <c r="D219" s="9">
        <v>0</v>
      </c>
      <c r="F219" s="9">
        <v>0</v>
      </c>
      <c r="H219" s="11">
        <f t="shared" si="14"/>
        <v>0</v>
      </c>
      <c r="S219" s="18" t="s">
        <v>52</v>
      </c>
      <c r="T219" s="18" t="s">
        <v>71</v>
      </c>
      <c r="U219" s="18"/>
      <c r="V219" s="19">
        <f>V214+V215+V218</f>
        <v>2528980</v>
      </c>
      <c r="W219" s="19"/>
      <c r="X219" s="19">
        <f>X214+X215+X218</f>
        <v>-250000</v>
      </c>
      <c r="Y219" s="18"/>
      <c r="Z219" s="19">
        <f>Z214+Z215+Z218</f>
        <v>2528980</v>
      </c>
    </row>
    <row r="220" spans="1:26" ht="15.6" thickTop="1" thickBot="1" x14ac:dyDescent="0.35">
      <c r="A220" s="6" t="s">
        <v>5</v>
      </c>
      <c r="B220" s="7"/>
      <c r="C220" s="7" t="s">
        <v>15</v>
      </c>
      <c r="D220" s="10">
        <f>D217+D218-D219</f>
        <v>-21020</v>
      </c>
      <c r="E220" s="7"/>
      <c r="F220" s="10">
        <f>F217+F218-F219</f>
        <v>0</v>
      </c>
      <c r="G220" s="7"/>
      <c r="H220" s="13">
        <f t="shared" si="14"/>
        <v>-21020</v>
      </c>
      <c r="S220" t="s">
        <v>53</v>
      </c>
      <c r="T220" t="s">
        <v>72</v>
      </c>
      <c r="V220" s="9">
        <v>0</v>
      </c>
      <c r="X220" s="9">
        <v>0</v>
      </c>
      <c r="Z220" s="9">
        <f>SUM(V220,X220)</f>
        <v>0</v>
      </c>
    </row>
    <row r="221" spans="1:26" ht="15" thickTop="1" x14ac:dyDescent="0.3">
      <c r="S221" t="s">
        <v>54</v>
      </c>
      <c r="T221" t="s">
        <v>73</v>
      </c>
      <c r="V221" s="9">
        <v>9690</v>
      </c>
      <c r="Z221" s="9">
        <f>SUM(V221,X221)</f>
        <v>9690</v>
      </c>
    </row>
    <row r="222" spans="1:26" x14ac:dyDescent="0.3">
      <c r="S222" t="s">
        <v>55</v>
      </c>
      <c r="T222" t="s">
        <v>74</v>
      </c>
      <c r="V222" s="9">
        <v>100000</v>
      </c>
      <c r="Z222" s="9">
        <f>SUM(V222,X222)</f>
        <v>100000</v>
      </c>
    </row>
    <row r="223" spans="1:26" ht="15" thickBot="1" x14ac:dyDescent="0.35">
      <c r="S223" s="16" t="s">
        <v>56</v>
      </c>
      <c r="T223" s="16" t="s">
        <v>75</v>
      </c>
      <c r="U223" s="16"/>
      <c r="V223" s="17">
        <v>0</v>
      </c>
      <c r="W223" s="16"/>
      <c r="X223" s="17">
        <v>0</v>
      </c>
      <c r="Y223" s="16"/>
      <c r="Z223" s="17">
        <f>SUM(V223,X223)</f>
        <v>0</v>
      </c>
    </row>
    <row r="224" spans="1:26" x14ac:dyDescent="0.3">
      <c r="S224" t="s">
        <v>57</v>
      </c>
      <c r="T224" t="s">
        <v>76</v>
      </c>
      <c r="V224" s="9">
        <v>100000</v>
      </c>
      <c r="X224" s="9">
        <f>SUM(X220:X223)</f>
        <v>0</v>
      </c>
      <c r="Z224" s="9">
        <f>SUM(Z220:Z223)</f>
        <v>109690</v>
      </c>
    </row>
    <row r="225" spans="1:26" x14ac:dyDescent="0.3">
      <c r="S225" t="s">
        <v>58</v>
      </c>
      <c r="T225" t="s">
        <v>77</v>
      </c>
      <c r="V225" s="9">
        <v>900000</v>
      </c>
      <c r="Z225" s="9">
        <f>SUM(V225,X225)</f>
        <v>900000</v>
      </c>
    </row>
    <row r="226" spans="1:26" x14ac:dyDescent="0.3">
      <c r="S226" t="s">
        <v>59</v>
      </c>
      <c r="T226" t="s">
        <v>78</v>
      </c>
      <c r="V226" s="9">
        <v>1550000</v>
      </c>
      <c r="X226" s="9">
        <v>0</v>
      </c>
      <c r="Z226" s="9">
        <f>SUM(V226,X226)</f>
        <v>1550000</v>
      </c>
    </row>
    <row r="227" spans="1:26" ht="15" thickBot="1" x14ac:dyDescent="0.35">
      <c r="S227" s="16" t="s">
        <v>60</v>
      </c>
      <c r="T227" s="16" t="s">
        <v>79</v>
      </c>
      <c r="U227" s="16"/>
      <c r="V227" s="17">
        <v>-21020</v>
      </c>
      <c r="W227" s="16"/>
      <c r="X227" s="17"/>
      <c r="Y227" s="16"/>
      <c r="Z227" s="17">
        <f>SUM(V227,X227)</f>
        <v>-21020</v>
      </c>
    </row>
    <row r="228" spans="1:26" x14ac:dyDescent="0.3">
      <c r="S228" t="s">
        <v>61</v>
      </c>
      <c r="T228" t="s">
        <v>80</v>
      </c>
      <c r="V228" s="9">
        <f>V226+V227</f>
        <v>1528980</v>
      </c>
      <c r="X228" s="21">
        <f>X226+X227</f>
        <v>0</v>
      </c>
      <c r="Z228" s="9">
        <f>SUM(V228,X228)</f>
        <v>1528980</v>
      </c>
    </row>
    <row r="229" spans="1:26" ht="15" thickBot="1" x14ac:dyDescent="0.35">
      <c r="S229" s="18" t="s">
        <v>62</v>
      </c>
      <c r="T229" s="18" t="s">
        <v>81</v>
      </c>
      <c r="U229" s="18"/>
      <c r="V229" s="19">
        <f>V224+V225+V228</f>
        <v>2528980</v>
      </c>
      <c r="W229" s="19"/>
      <c r="X229" s="19">
        <f>X224+X225+X228</f>
        <v>0</v>
      </c>
      <c r="Y229" s="18"/>
      <c r="Z229" s="19">
        <f>SUM(V229,X229)</f>
        <v>2528980</v>
      </c>
    </row>
    <row r="230" spans="1:26" ht="15" thickTop="1" x14ac:dyDescent="0.3"/>
    <row r="232" spans="1:26" s="23" customFormat="1" x14ac:dyDescent="0.3">
      <c r="A232" s="27" t="s">
        <v>91</v>
      </c>
      <c r="B232" s="27"/>
      <c r="C232" s="27"/>
      <c r="D232" s="27"/>
      <c r="E232" s="27"/>
      <c r="F232" s="25"/>
      <c r="M232" s="25"/>
      <c r="O232" s="25"/>
      <c r="V232" s="25"/>
      <c r="X232" s="25"/>
      <c r="Z232" s="25"/>
    </row>
    <row r="234" spans="1:26" ht="25.8" x14ac:dyDescent="0.3">
      <c r="A234" s="26" t="s">
        <v>21</v>
      </c>
      <c r="B234" s="26"/>
      <c r="C234" s="26"/>
      <c r="D234" s="15"/>
      <c r="E234" s="15"/>
      <c r="F234"/>
      <c r="J234" s="26" t="s">
        <v>22</v>
      </c>
      <c r="K234" s="26"/>
      <c r="L234" s="15"/>
      <c r="M234" s="15"/>
      <c r="N234" s="15"/>
      <c r="S234" s="26" t="s">
        <v>0</v>
      </c>
      <c r="T234" s="26"/>
      <c r="U234" s="26"/>
      <c r="V234" s="26"/>
      <c r="W234" s="26"/>
    </row>
    <row r="235" spans="1:26" ht="14.4" customHeight="1" x14ac:dyDescent="0.3">
      <c r="A235" s="15"/>
      <c r="B235" s="15"/>
      <c r="C235" s="15"/>
      <c r="D235" s="15"/>
      <c r="E235" s="15"/>
      <c r="F235"/>
      <c r="J235" s="15"/>
      <c r="K235" s="15"/>
      <c r="L235" s="15"/>
      <c r="M235" s="15"/>
      <c r="N235" s="15"/>
      <c r="S235" s="26"/>
      <c r="T235" s="26"/>
      <c r="U235" s="26"/>
      <c r="V235" s="26"/>
      <c r="W235" s="26"/>
    </row>
    <row r="236" spans="1:26" ht="15" thickBot="1" x14ac:dyDescent="0.35">
      <c r="A236" s="1" t="s">
        <v>1</v>
      </c>
      <c r="B236" s="1"/>
      <c r="C236" s="1"/>
      <c r="D236" s="8" t="s">
        <v>16</v>
      </c>
      <c r="E236" s="3" t="s">
        <v>17</v>
      </c>
      <c r="F236" s="8" t="s">
        <v>18</v>
      </c>
      <c r="G236" s="4" t="s">
        <v>19</v>
      </c>
      <c r="H236" s="1" t="s">
        <v>20</v>
      </c>
      <c r="J236" s="1" t="s">
        <v>1</v>
      </c>
      <c r="K236" s="1"/>
      <c r="L236" s="1"/>
      <c r="M236" s="8" t="s">
        <v>16</v>
      </c>
      <c r="N236" s="3" t="s">
        <v>17</v>
      </c>
      <c r="O236" s="8" t="s">
        <v>18</v>
      </c>
      <c r="P236" s="4" t="s">
        <v>19</v>
      </c>
      <c r="Q236" s="1" t="s">
        <v>20</v>
      </c>
      <c r="S236" s="1" t="s">
        <v>1</v>
      </c>
      <c r="T236" s="1"/>
      <c r="U236" s="1"/>
      <c r="V236" s="8" t="s">
        <v>16</v>
      </c>
      <c r="W236" s="3" t="s">
        <v>17</v>
      </c>
      <c r="X236" s="8" t="s">
        <v>18</v>
      </c>
      <c r="Y236" s="4" t="s">
        <v>19</v>
      </c>
      <c r="Z236" s="8" t="s">
        <v>20</v>
      </c>
    </row>
    <row r="237" spans="1:26" x14ac:dyDescent="0.3">
      <c r="A237" s="2">
        <v>1</v>
      </c>
      <c r="C237" t="s">
        <v>6</v>
      </c>
      <c r="D237" s="9">
        <v>0</v>
      </c>
      <c r="F237" s="9">
        <v>0</v>
      </c>
      <c r="H237" s="11">
        <f>D237+F237</f>
        <v>0</v>
      </c>
      <c r="J237" t="s">
        <v>23</v>
      </c>
      <c r="K237" t="s">
        <v>32</v>
      </c>
      <c r="M237" s="9">
        <v>0</v>
      </c>
      <c r="O237" s="9">
        <v>0</v>
      </c>
      <c r="Q237" s="11">
        <v>0</v>
      </c>
      <c r="S237" t="s">
        <v>43</v>
      </c>
      <c r="T237" t="s">
        <v>63</v>
      </c>
      <c r="V237" s="9">
        <v>778980</v>
      </c>
      <c r="X237" s="9">
        <v>-2720</v>
      </c>
      <c r="Z237" s="9">
        <f>V237+X237</f>
        <v>776260</v>
      </c>
    </row>
    <row r="238" spans="1:26" ht="15" thickBot="1" x14ac:dyDescent="0.35">
      <c r="A238" s="5">
        <v>2</v>
      </c>
      <c r="B238" s="1"/>
      <c r="C238" s="1" t="s">
        <v>33</v>
      </c>
      <c r="D238" s="8">
        <v>0</v>
      </c>
      <c r="E238" s="1"/>
      <c r="F238" s="8">
        <v>0</v>
      </c>
      <c r="G238" s="1"/>
      <c r="H238" s="12">
        <f t="shared" ref="H238:H247" si="15">D238+F238</f>
        <v>0</v>
      </c>
      <c r="J238" t="s">
        <v>24</v>
      </c>
      <c r="K238" t="s">
        <v>34</v>
      </c>
      <c r="M238" s="9">
        <v>0</v>
      </c>
      <c r="Q238" s="11">
        <f>M238+O238</f>
        <v>0</v>
      </c>
      <c r="S238" t="s">
        <v>46</v>
      </c>
      <c r="T238" t="s">
        <v>64</v>
      </c>
      <c r="V238" s="9">
        <v>0</v>
      </c>
      <c r="X238" s="9">
        <v>0</v>
      </c>
      <c r="Z238" s="9">
        <v>0</v>
      </c>
    </row>
    <row r="239" spans="1:26" ht="15" thickBot="1" x14ac:dyDescent="0.35">
      <c r="A239" s="2" t="s">
        <v>2</v>
      </c>
      <c r="C239" t="s">
        <v>7</v>
      </c>
      <c r="D239" s="9">
        <v>0</v>
      </c>
      <c r="F239" s="9">
        <v>0</v>
      </c>
      <c r="H239" s="11">
        <f t="shared" si="15"/>
        <v>0</v>
      </c>
      <c r="J239" s="1" t="s">
        <v>25</v>
      </c>
      <c r="K239" s="1" t="s">
        <v>35</v>
      </c>
      <c r="L239" s="1"/>
      <c r="M239" s="8">
        <v>21020</v>
      </c>
      <c r="N239" s="1"/>
      <c r="O239" s="8">
        <v>2720</v>
      </c>
      <c r="P239" s="1"/>
      <c r="Q239" s="22">
        <f>M239+O239</f>
        <v>23740</v>
      </c>
      <c r="S239" t="s">
        <v>44</v>
      </c>
      <c r="T239" t="s">
        <v>65</v>
      </c>
      <c r="V239" s="9">
        <v>0</v>
      </c>
      <c r="X239" s="9">
        <v>0</v>
      </c>
      <c r="Z239" s="9">
        <v>0</v>
      </c>
    </row>
    <row r="240" spans="1:26" ht="15" thickBot="1" x14ac:dyDescent="0.35">
      <c r="A240" s="2">
        <v>4</v>
      </c>
      <c r="C240" t="s">
        <v>8</v>
      </c>
      <c r="D240" s="9">
        <v>7680</v>
      </c>
      <c r="H240" s="11">
        <f t="shared" si="15"/>
        <v>7680</v>
      </c>
      <c r="J240" t="s">
        <v>26</v>
      </c>
      <c r="K240" t="s">
        <v>36</v>
      </c>
      <c r="M240" s="9">
        <f>M238-M239</f>
        <v>-21020</v>
      </c>
      <c r="O240" s="14">
        <f>O238-O239</f>
        <v>-2720</v>
      </c>
      <c r="Q240" s="11">
        <f>Q238-Q239</f>
        <v>-23740</v>
      </c>
      <c r="S240" s="16" t="s">
        <v>45</v>
      </c>
      <c r="T240" s="16" t="s">
        <v>82</v>
      </c>
      <c r="U240" s="16"/>
      <c r="V240" s="17">
        <v>0</v>
      </c>
      <c r="W240" s="16"/>
      <c r="X240" s="17">
        <v>0</v>
      </c>
      <c r="Y240" s="16"/>
      <c r="Z240" s="17">
        <v>0</v>
      </c>
    </row>
    <row r="241" spans="1:26" x14ac:dyDescent="0.3">
      <c r="A241" s="2">
        <v>5</v>
      </c>
      <c r="C241" t="s">
        <v>9</v>
      </c>
      <c r="D241" s="9">
        <v>0</v>
      </c>
      <c r="F241" s="9">
        <v>0</v>
      </c>
      <c r="H241" s="11">
        <f t="shared" si="15"/>
        <v>0</v>
      </c>
      <c r="J241" t="s">
        <v>27</v>
      </c>
      <c r="K241" t="s">
        <v>37</v>
      </c>
      <c r="M241" s="9">
        <v>1750000</v>
      </c>
      <c r="O241" s="14"/>
      <c r="Q241" s="11">
        <f>M241+O241</f>
        <v>1750000</v>
      </c>
      <c r="S241" t="s">
        <v>47</v>
      </c>
      <c r="T241" t="s">
        <v>66</v>
      </c>
      <c r="V241" s="9">
        <f>SUM(V237:V240)</f>
        <v>778980</v>
      </c>
      <c r="X241" s="9">
        <f>SUM(X237:X240)</f>
        <v>-2720</v>
      </c>
      <c r="Z241" s="9">
        <f>SUM(Z237:Z240)</f>
        <v>776260</v>
      </c>
    </row>
    <row r="242" spans="1:26" ht="15" thickBot="1" x14ac:dyDescent="0.35">
      <c r="A242" s="5">
        <v>6</v>
      </c>
      <c r="B242" s="1"/>
      <c r="C242" s="1" t="s">
        <v>10</v>
      </c>
      <c r="D242" s="8">
        <v>13340</v>
      </c>
      <c r="E242" s="1"/>
      <c r="F242" s="8">
        <v>4880</v>
      </c>
      <c r="G242" s="1"/>
      <c r="H242" s="12">
        <f t="shared" si="15"/>
        <v>18220</v>
      </c>
      <c r="J242" t="s">
        <v>30</v>
      </c>
      <c r="K242" t="s">
        <v>38</v>
      </c>
      <c r="M242" s="9">
        <v>1000000</v>
      </c>
      <c r="O242" s="14"/>
      <c r="Q242" s="11">
        <f>M242+O242</f>
        <v>1000000</v>
      </c>
      <c r="S242" t="s">
        <v>50</v>
      </c>
      <c r="T242" t="s">
        <v>67</v>
      </c>
      <c r="V242" s="9">
        <v>0</v>
      </c>
      <c r="X242" s="9">
        <v>0</v>
      </c>
      <c r="Z242" s="9">
        <f>SUM(V242,X242)</f>
        <v>0</v>
      </c>
    </row>
    <row r="243" spans="1:26" x14ac:dyDescent="0.3">
      <c r="A243" s="2" t="s">
        <v>3</v>
      </c>
      <c r="C243" t="s">
        <v>11</v>
      </c>
      <c r="D243" s="9">
        <f>SUM(D240:D242)</f>
        <v>21020</v>
      </c>
      <c r="F243" s="9">
        <f>SUM(F240:F242)</f>
        <v>4880</v>
      </c>
      <c r="H243" s="11">
        <f t="shared" si="15"/>
        <v>25900</v>
      </c>
      <c r="J243" t="s">
        <v>28</v>
      </c>
      <c r="K243" t="s">
        <v>39</v>
      </c>
      <c r="M243" s="9">
        <v>0</v>
      </c>
      <c r="O243" s="14">
        <v>0</v>
      </c>
      <c r="Q243" s="11">
        <f>M243+O243</f>
        <v>0</v>
      </c>
      <c r="S243" t="s">
        <v>48</v>
      </c>
      <c r="T243" t="s">
        <v>68</v>
      </c>
      <c r="V243" s="9">
        <v>1750000</v>
      </c>
      <c r="Z243" s="9">
        <f>SUM(V243,X243)</f>
        <v>1750000</v>
      </c>
    </row>
    <row r="244" spans="1:26" ht="15" thickBot="1" x14ac:dyDescent="0.35">
      <c r="A244" s="2" t="s">
        <v>4</v>
      </c>
      <c r="C244" t="s">
        <v>12</v>
      </c>
      <c r="D244" s="9">
        <f>D239-D243</f>
        <v>-21020</v>
      </c>
      <c r="F244" s="9">
        <f>F239-F243</f>
        <v>-4880</v>
      </c>
      <c r="H244" s="11">
        <f t="shared" si="15"/>
        <v>-25900</v>
      </c>
      <c r="J244" t="s">
        <v>29</v>
      </c>
      <c r="K244" t="s">
        <v>40</v>
      </c>
      <c r="M244" s="9">
        <v>1550000</v>
      </c>
      <c r="O244" s="14">
        <v>0</v>
      </c>
      <c r="Q244" s="11">
        <f>M244+O244</f>
        <v>1550000</v>
      </c>
      <c r="S244" s="16" t="s">
        <v>49</v>
      </c>
      <c r="T244" s="16" t="s">
        <v>69</v>
      </c>
      <c r="U244" s="16"/>
      <c r="V244" s="17">
        <v>0</v>
      </c>
      <c r="W244" s="16"/>
      <c r="X244" s="17"/>
      <c r="Y244" s="16"/>
      <c r="Z244" s="17"/>
    </row>
    <row r="245" spans="1:26" x14ac:dyDescent="0.3">
      <c r="A245" s="2">
        <v>9</v>
      </c>
      <c r="C245" t="s">
        <v>13</v>
      </c>
      <c r="D245" s="9">
        <v>0</v>
      </c>
      <c r="F245" s="9">
        <v>0</v>
      </c>
      <c r="H245" s="11">
        <f t="shared" si="15"/>
        <v>0</v>
      </c>
      <c r="J245" t="s">
        <v>31</v>
      </c>
      <c r="K245" t="s">
        <v>41</v>
      </c>
      <c r="M245" s="9">
        <f>M237+M240-M241+M242-M243+M244</f>
        <v>778980</v>
      </c>
      <c r="O245" s="9">
        <f>O237+O240-O241+O242-O243+O244</f>
        <v>-2720</v>
      </c>
      <c r="Q245" s="11">
        <f>Q237+Q240-Q241+Q242-Q243+Q244</f>
        <v>776260</v>
      </c>
      <c r="S245" t="s">
        <v>51</v>
      </c>
      <c r="T245" t="s">
        <v>70</v>
      </c>
      <c r="V245" s="20">
        <f>V243-V244</f>
        <v>1750000</v>
      </c>
      <c r="X245" s="20"/>
      <c r="Z245" s="20">
        <f>Z243-Z244</f>
        <v>1750000</v>
      </c>
    </row>
    <row r="246" spans="1:26" ht="15" thickBot="1" x14ac:dyDescent="0.35">
      <c r="A246" s="2">
        <v>10</v>
      </c>
      <c r="C246" t="s">
        <v>14</v>
      </c>
      <c r="D246" s="9">
        <v>0</v>
      </c>
      <c r="F246" s="9">
        <v>0</v>
      </c>
      <c r="H246" s="11">
        <f t="shared" si="15"/>
        <v>0</v>
      </c>
      <c r="S246" s="18" t="s">
        <v>52</v>
      </c>
      <c r="T246" s="18" t="s">
        <v>71</v>
      </c>
      <c r="U246" s="18"/>
      <c r="V246" s="19">
        <f>V241+V242+V245</f>
        <v>2528980</v>
      </c>
      <c r="W246" s="19"/>
      <c r="X246" s="19">
        <f>X241+X242+X245</f>
        <v>-2720</v>
      </c>
      <c r="Y246" s="18"/>
      <c r="Z246" s="19">
        <f>Z241+Z242+Z245</f>
        <v>2526260</v>
      </c>
    </row>
    <row r="247" spans="1:26" ht="15.6" thickTop="1" thickBot="1" x14ac:dyDescent="0.35">
      <c r="A247" s="6" t="s">
        <v>5</v>
      </c>
      <c r="B247" s="7"/>
      <c r="C247" s="7" t="s">
        <v>15</v>
      </c>
      <c r="D247" s="10">
        <f>D244+D245-D246</f>
        <v>-21020</v>
      </c>
      <c r="E247" s="7"/>
      <c r="F247" s="10">
        <f>F244+F245-F246</f>
        <v>-4880</v>
      </c>
      <c r="G247" s="7"/>
      <c r="H247" s="13">
        <f t="shared" si="15"/>
        <v>-25900</v>
      </c>
      <c r="S247" t="s">
        <v>53</v>
      </c>
      <c r="T247" t="s">
        <v>72</v>
      </c>
      <c r="V247" s="9">
        <v>0</v>
      </c>
      <c r="X247" s="9">
        <v>0</v>
      </c>
      <c r="Z247" s="9">
        <f>SUM(V247,X247)</f>
        <v>0</v>
      </c>
    </row>
    <row r="248" spans="1:26" ht="15" thickTop="1" x14ac:dyDescent="0.3">
      <c r="S248" t="s">
        <v>54</v>
      </c>
      <c r="T248" t="s">
        <v>73</v>
      </c>
      <c r="V248" s="9">
        <v>9690</v>
      </c>
      <c r="X248" s="9">
        <v>2160</v>
      </c>
      <c r="Z248" s="9">
        <f>SUM(V248,X248)</f>
        <v>11850</v>
      </c>
    </row>
    <row r="249" spans="1:26" x14ac:dyDescent="0.3">
      <c r="S249" t="s">
        <v>55</v>
      </c>
      <c r="T249" t="s">
        <v>74</v>
      </c>
      <c r="V249" s="9">
        <v>100000</v>
      </c>
      <c r="Z249" s="9">
        <f>SUM(V249,X249)</f>
        <v>100000</v>
      </c>
    </row>
    <row r="250" spans="1:26" ht="15" thickBot="1" x14ac:dyDescent="0.35">
      <c r="S250" s="16" t="s">
        <v>56</v>
      </c>
      <c r="T250" s="16" t="s">
        <v>75</v>
      </c>
      <c r="U250" s="16"/>
      <c r="V250" s="17">
        <v>0</v>
      </c>
      <c r="W250" s="16"/>
      <c r="X250" s="17">
        <v>0</v>
      </c>
      <c r="Y250" s="16"/>
      <c r="Z250" s="17">
        <f>SUM(V250,X250)</f>
        <v>0</v>
      </c>
    </row>
    <row r="251" spans="1:26" x14ac:dyDescent="0.3">
      <c r="S251" t="s">
        <v>57</v>
      </c>
      <c r="T251" t="s">
        <v>76</v>
      </c>
      <c r="V251" s="9">
        <v>100000</v>
      </c>
      <c r="X251" s="9">
        <f>SUM(X247:X250)</f>
        <v>2160</v>
      </c>
      <c r="Z251" s="9">
        <f>SUM(Z247:Z250)</f>
        <v>111850</v>
      </c>
    </row>
    <row r="252" spans="1:26" x14ac:dyDescent="0.3">
      <c r="S252" t="s">
        <v>58</v>
      </c>
      <c r="T252" t="s">
        <v>77</v>
      </c>
      <c r="V252" s="9">
        <v>900000</v>
      </c>
      <c r="Z252" s="9">
        <f>SUM(V252,X252)</f>
        <v>900000</v>
      </c>
    </row>
    <row r="253" spans="1:26" x14ac:dyDescent="0.3">
      <c r="S253" t="s">
        <v>59</v>
      </c>
      <c r="T253" t="s">
        <v>78</v>
      </c>
      <c r="V253" s="9">
        <v>1550000</v>
      </c>
      <c r="X253" s="9">
        <v>0</v>
      </c>
      <c r="Z253" s="9">
        <f>SUM(V253,X253)</f>
        <v>1550000</v>
      </c>
    </row>
    <row r="254" spans="1:26" ht="15" thickBot="1" x14ac:dyDescent="0.35">
      <c r="S254" s="16" t="s">
        <v>60</v>
      </c>
      <c r="T254" s="16" t="s">
        <v>79</v>
      </c>
      <c r="U254" s="16"/>
      <c r="V254" s="17">
        <v>-21020</v>
      </c>
      <c r="W254" s="16"/>
      <c r="X254" s="17">
        <v>-4880</v>
      </c>
      <c r="Y254" s="16"/>
      <c r="Z254" s="17">
        <f>SUM(V254,X254)</f>
        <v>-25900</v>
      </c>
    </row>
    <row r="255" spans="1:26" x14ac:dyDescent="0.3">
      <c r="S255" t="s">
        <v>61</v>
      </c>
      <c r="T255" t="s">
        <v>80</v>
      </c>
      <c r="V255" s="9">
        <f>V253+V254</f>
        <v>1528980</v>
      </c>
      <c r="X255" s="21">
        <f>X253+X254</f>
        <v>-4880</v>
      </c>
      <c r="Z255" s="9">
        <f>SUM(V255,X255)</f>
        <v>1524100</v>
      </c>
    </row>
    <row r="256" spans="1:26" ht="15" thickBot="1" x14ac:dyDescent="0.35">
      <c r="S256" s="18" t="s">
        <v>62</v>
      </c>
      <c r="T256" s="18" t="s">
        <v>81</v>
      </c>
      <c r="U256" s="18"/>
      <c r="V256" s="19">
        <f>V251+V252+V255</f>
        <v>2528980</v>
      </c>
      <c r="W256" s="19"/>
      <c r="X256" s="19">
        <f>X251+X252+X255</f>
        <v>-2720</v>
      </c>
      <c r="Y256" s="18"/>
      <c r="Z256" s="19">
        <f>SUM(V256,X256)</f>
        <v>2526260</v>
      </c>
    </row>
    <row r="257" spans="1:26" ht="15" thickTop="1" x14ac:dyDescent="0.3"/>
    <row r="259" spans="1:26" ht="25.8" x14ac:dyDescent="0.3">
      <c r="A259" s="27" t="s">
        <v>92</v>
      </c>
      <c r="B259" s="27"/>
      <c r="C259" s="27"/>
      <c r="D259" s="27"/>
      <c r="J259" s="26" t="s">
        <v>22</v>
      </c>
      <c r="K259" s="26"/>
      <c r="L259" s="15"/>
      <c r="M259" s="15"/>
      <c r="N259" s="15"/>
      <c r="S259" s="26" t="s">
        <v>0</v>
      </c>
      <c r="T259" s="26"/>
      <c r="U259" s="26"/>
      <c r="V259" s="26"/>
      <c r="W259" s="26"/>
    </row>
    <row r="260" spans="1:26" ht="13.2" customHeight="1" x14ac:dyDescent="0.3">
      <c r="A260" s="26" t="s">
        <v>21</v>
      </c>
      <c r="B260" s="26"/>
      <c r="C260" s="26"/>
      <c r="D260" s="15"/>
      <c r="E260" s="15"/>
      <c r="F260"/>
      <c r="J260" s="15"/>
      <c r="K260" s="15"/>
      <c r="L260" s="15"/>
      <c r="M260" s="15"/>
      <c r="N260" s="15"/>
      <c r="S260" s="26"/>
      <c r="T260" s="26"/>
      <c r="U260" s="26"/>
      <c r="V260" s="26"/>
      <c r="W260" s="26"/>
    </row>
    <row r="261" spans="1:26" ht="18" customHeight="1" thickBot="1" x14ac:dyDescent="0.35">
      <c r="A261" s="15"/>
      <c r="B261" s="15"/>
      <c r="C261" s="15"/>
      <c r="D261" s="15"/>
      <c r="E261" s="15"/>
      <c r="F261"/>
      <c r="J261" s="1" t="s">
        <v>1</v>
      </c>
      <c r="K261" s="1"/>
      <c r="L261" s="1"/>
      <c r="M261" s="8" t="s">
        <v>16</v>
      </c>
      <c r="N261" s="3" t="s">
        <v>17</v>
      </c>
      <c r="O261" s="8" t="s">
        <v>18</v>
      </c>
      <c r="P261" s="4" t="s">
        <v>19</v>
      </c>
      <c r="Q261" s="1" t="s">
        <v>20</v>
      </c>
      <c r="S261" s="1" t="s">
        <v>1</v>
      </c>
      <c r="T261" s="1"/>
      <c r="U261" s="1"/>
      <c r="V261" s="8" t="s">
        <v>16</v>
      </c>
      <c r="W261" s="3" t="s">
        <v>17</v>
      </c>
      <c r="X261" s="8" t="s">
        <v>18</v>
      </c>
      <c r="Y261" s="4" t="s">
        <v>19</v>
      </c>
      <c r="Z261" s="8" t="s">
        <v>20</v>
      </c>
    </row>
    <row r="262" spans="1:26" ht="15" thickBot="1" x14ac:dyDescent="0.35">
      <c r="A262" s="1" t="s">
        <v>1</v>
      </c>
      <c r="B262" s="1"/>
      <c r="C262" s="1"/>
      <c r="D262" s="8" t="s">
        <v>16</v>
      </c>
      <c r="E262" s="3" t="s">
        <v>17</v>
      </c>
      <c r="F262" s="8" t="s">
        <v>18</v>
      </c>
      <c r="G262" s="4" t="s">
        <v>19</v>
      </c>
      <c r="H262" s="1" t="s">
        <v>20</v>
      </c>
      <c r="J262" t="s">
        <v>23</v>
      </c>
      <c r="K262" t="s">
        <v>32</v>
      </c>
      <c r="M262" s="9">
        <v>0</v>
      </c>
      <c r="O262" s="9">
        <v>0</v>
      </c>
      <c r="Q262" s="11">
        <v>0</v>
      </c>
      <c r="S262" t="s">
        <v>43</v>
      </c>
      <c r="T262" t="s">
        <v>63</v>
      </c>
      <c r="V262" s="9">
        <v>776260</v>
      </c>
      <c r="Z262" s="9">
        <f>V262+X262</f>
        <v>776260</v>
      </c>
    </row>
    <row r="263" spans="1:26" x14ac:dyDescent="0.3">
      <c r="A263" s="2">
        <v>1</v>
      </c>
      <c r="C263" t="s">
        <v>6</v>
      </c>
      <c r="D263" s="9">
        <v>0</v>
      </c>
      <c r="F263" s="9">
        <v>0</v>
      </c>
      <c r="H263" s="11">
        <f>D263+F263</f>
        <v>0</v>
      </c>
      <c r="J263" t="s">
        <v>24</v>
      </c>
      <c r="K263" t="s">
        <v>34</v>
      </c>
      <c r="M263" s="9">
        <v>0</v>
      </c>
      <c r="Q263" s="11">
        <f>M263+O263</f>
        <v>0</v>
      </c>
      <c r="S263" t="s">
        <v>46</v>
      </c>
      <c r="T263" t="s">
        <v>64</v>
      </c>
      <c r="V263" s="9">
        <v>0</v>
      </c>
      <c r="X263" s="9">
        <v>0</v>
      </c>
      <c r="Z263" s="9">
        <v>0</v>
      </c>
    </row>
    <row r="264" spans="1:26" ht="15" thickBot="1" x14ac:dyDescent="0.35">
      <c r="A264" s="5">
        <v>2</v>
      </c>
      <c r="B264" s="1"/>
      <c r="C264" s="1" t="s">
        <v>33</v>
      </c>
      <c r="D264" s="8">
        <v>0</v>
      </c>
      <c r="E264" s="1"/>
      <c r="F264" s="8">
        <v>0</v>
      </c>
      <c r="G264" s="1"/>
      <c r="H264" s="12">
        <f t="shared" ref="H264:H273" si="16">D264+F264</f>
        <v>0</v>
      </c>
      <c r="J264" s="1" t="s">
        <v>25</v>
      </c>
      <c r="K264" s="1" t="s">
        <v>35</v>
      </c>
      <c r="L264" s="1"/>
      <c r="M264" s="8">
        <v>23740</v>
      </c>
      <c r="N264" s="1"/>
      <c r="O264" s="8">
        <v>0</v>
      </c>
      <c r="P264" s="1"/>
      <c r="Q264" s="22">
        <f>M264+O264</f>
        <v>23740</v>
      </c>
      <c r="S264" t="s">
        <v>44</v>
      </c>
      <c r="T264" t="s">
        <v>65</v>
      </c>
      <c r="V264" s="9">
        <v>0</v>
      </c>
      <c r="X264" s="9">
        <v>20000</v>
      </c>
      <c r="Z264" s="9">
        <v>0</v>
      </c>
    </row>
    <row r="265" spans="1:26" ht="15" thickBot="1" x14ac:dyDescent="0.35">
      <c r="A265" s="2" t="s">
        <v>2</v>
      </c>
      <c r="C265" t="s">
        <v>7</v>
      </c>
      <c r="D265" s="9">
        <v>0</v>
      </c>
      <c r="F265" s="9">
        <v>0</v>
      </c>
      <c r="H265" s="11">
        <f t="shared" si="16"/>
        <v>0</v>
      </c>
      <c r="J265" t="s">
        <v>26</v>
      </c>
      <c r="K265" t="s">
        <v>36</v>
      </c>
      <c r="M265" s="9">
        <f>M263-M264</f>
        <v>-23740</v>
      </c>
      <c r="O265" s="14">
        <f>O263-O264</f>
        <v>0</v>
      </c>
      <c r="Q265" s="11">
        <f>Q263-Q264</f>
        <v>-23740</v>
      </c>
      <c r="S265" s="16" t="s">
        <v>45</v>
      </c>
      <c r="T265" s="16" t="s">
        <v>82</v>
      </c>
      <c r="U265" s="16"/>
      <c r="V265" s="17">
        <v>0</v>
      </c>
      <c r="W265" s="16"/>
      <c r="X265" s="17">
        <v>0</v>
      </c>
      <c r="Y265" s="16"/>
      <c r="Z265" s="17">
        <v>0</v>
      </c>
    </row>
    <row r="266" spans="1:26" x14ac:dyDescent="0.3">
      <c r="A266" s="2">
        <v>4</v>
      </c>
      <c r="C266" t="s">
        <v>8</v>
      </c>
      <c r="D266" s="9">
        <v>7680</v>
      </c>
      <c r="H266" s="11">
        <f t="shared" si="16"/>
        <v>7680</v>
      </c>
      <c r="J266" t="s">
        <v>27</v>
      </c>
      <c r="K266" t="s">
        <v>37</v>
      </c>
      <c r="M266" s="9">
        <v>1750000</v>
      </c>
      <c r="O266" s="14"/>
      <c r="Q266" s="11">
        <f>M266+O266</f>
        <v>1750000</v>
      </c>
      <c r="S266" t="s">
        <v>47</v>
      </c>
      <c r="T266" t="s">
        <v>66</v>
      </c>
      <c r="V266" s="9">
        <f>SUM(V262:V265)</f>
        <v>776260</v>
      </c>
      <c r="X266" s="9">
        <f>SUM(X262:X265)</f>
        <v>20000</v>
      </c>
      <c r="Z266" s="9">
        <f>SUM(Z262:Z265)</f>
        <v>776260</v>
      </c>
    </row>
    <row r="267" spans="1:26" x14ac:dyDescent="0.3">
      <c r="A267" s="2">
        <v>5</v>
      </c>
      <c r="C267" t="s">
        <v>9</v>
      </c>
      <c r="D267" s="9">
        <v>0</v>
      </c>
      <c r="F267" s="9">
        <v>0</v>
      </c>
      <c r="H267" s="11">
        <f t="shared" si="16"/>
        <v>0</v>
      </c>
      <c r="J267" t="s">
        <v>30</v>
      </c>
      <c r="K267" t="s">
        <v>38</v>
      </c>
      <c r="M267" s="9">
        <v>1000000</v>
      </c>
      <c r="O267" s="14"/>
      <c r="Q267" s="11">
        <f>M267+O267</f>
        <v>1000000</v>
      </c>
      <c r="S267" t="s">
        <v>50</v>
      </c>
      <c r="T267" t="s">
        <v>67</v>
      </c>
      <c r="V267" s="9">
        <v>0</v>
      </c>
      <c r="X267" s="9">
        <v>0</v>
      </c>
      <c r="Z267" s="9">
        <f>SUM(V267,X267)</f>
        <v>0</v>
      </c>
    </row>
    <row r="268" spans="1:26" ht="15" thickBot="1" x14ac:dyDescent="0.35">
      <c r="A268" s="5">
        <v>6</v>
      </c>
      <c r="B268" s="1"/>
      <c r="C268" s="1" t="s">
        <v>10</v>
      </c>
      <c r="D268" s="8">
        <v>18220</v>
      </c>
      <c r="E268" s="1"/>
      <c r="F268" s="8">
        <v>0</v>
      </c>
      <c r="G268" s="1"/>
      <c r="H268" s="12">
        <f t="shared" si="16"/>
        <v>18220</v>
      </c>
      <c r="J268" t="s">
        <v>28</v>
      </c>
      <c r="K268" t="s">
        <v>39</v>
      </c>
      <c r="M268" s="9">
        <v>0</v>
      </c>
      <c r="O268" s="14">
        <v>0</v>
      </c>
      <c r="Q268" s="11">
        <f>M268+O268</f>
        <v>0</v>
      </c>
      <c r="S268" t="s">
        <v>48</v>
      </c>
      <c r="T268" t="s">
        <v>68</v>
      </c>
      <c r="V268" s="9">
        <v>1750000</v>
      </c>
      <c r="Z268" s="9">
        <f>SUM(V268,X268)</f>
        <v>1750000</v>
      </c>
    </row>
    <row r="269" spans="1:26" ht="15" thickBot="1" x14ac:dyDescent="0.35">
      <c r="A269" s="2" t="s">
        <v>3</v>
      </c>
      <c r="C269" t="s">
        <v>11</v>
      </c>
      <c r="D269" s="9">
        <f>SUM(D266:D268)</f>
        <v>25900</v>
      </c>
      <c r="F269" s="9">
        <f>SUM(F266:F268)</f>
        <v>0</v>
      </c>
      <c r="H269" s="11">
        <f t="shared" si="16"/>
        <v>25900</v>
      </c>
      <c r="J269" t="s">
        <v>29</v>
      </c>
      <c r="K269" t="s">
        <v>40</v>
      </c>
      <c r="M269" s="9">
        <v>1550000</v>
      </c>
      <c r="O269" s="14">
        <v>0</v>
      </c>
      <c r="Q269" s="11">
        <f>M269+O269</f>
        <v>1550000</v>
      </c>
      <c r="S269" s="16" t="s">
        <v>49</v>
      </c>
      <c r="T269" s="16" t="s">
        <v>69</v>
      </c>
      <c r="U269" s="16"/>
      <c r="V269" s="17">
        <v>0</v>
      </c>
      <c r="W269" s="16"/>
      <c r="X269" s="17"/>
      <c r="Y269" s="16"/>
      <c r="Z269" s="17"/>
    </row>
    <row r="270" spans="1:26" x14ac:dyDescent="0.3">
      <c r="A270" s="2" t="s">
        <v>4</v>
      </c>
      <c r="C270" t="s">
        <v>12</v>
      </c>
      <c r="D270" s="9">
        <f>D265-D269</f>
        <v>-25900</v>
      </c>
      <c r="F270" s="9">
        <f>F265-F269</f>
        <v>0</v>
      </c>
      <c r="H270" s="11">
        <f t="shared" si="16"/>
        <v>-25900</v>
      </c>
      <c r="J270" t="s">
        <v>31</v>
      </c>
      <c r="K270" t="s">
        <v>41</v>
      </c>
      <c r="M270" s="9">
        <f>M262+M265-M266+M267-M268+M269</f>
        <v>776260</v>
      </c>
      <c r="O270" s="9">
        <f>O262+O265-O266+O267-O268+O269</f>
        <v>0</v>
      </c>
      <c r="Q270" s="11">
        <f>Q262+Q265-Q266+Q267-Q268+Q269</f>
        <v>776260</v>
      </c>
      <c r="S270" t="s">
        <v>51</v>
      </c>
      <c r="T270" t="s">
        <v>70</v>
      </c>
      <c r="V270" s="20">
        <f>V268-V269</f>
        <v>1750000</v>
      </c>
      <c r="X270" s="20"/>
      <c r="Z270" s="20">
        <f>Z268-Z269</f>
        <v>1750000</v>
      </c>
    </row>
    <row r="271" spans="1:26" ht="15" thickBot="1" x14ac:dyDescent="0.35">
      <c r="A271" s="2">
        <v>9</v>
      </c>
      <c r="C271" t="s">
        <v>13</v>
      </c>
      <c r="D271" s="9">
        <v>0</v>
      </c>
      <c r="F271" s="9">
        <v>0</v>
      </c>
      <c r="H271" s="11">
        <f t="shared" si="16"/>
        <v>0</v>
      </c>
      <c r="S271" s="18" t="s">
        <v>52</v>
      </c>
      <c r="T271" s="18" t="s">
        <v>71</v>
      </c>
      <c r="U271" s="18"/>
      <c r="V271" s="19">
        <f>V266+V267+V270</f>
        <v>2526260</v>
      </c>
      <c r="W271" s="19"/>
      <c r="X271" s="19">
        <f>X266+X267+X270</f>
        <v>20000</v>
      </c>
      <c r="Y271" s="18"/>
      <c r="Z271" s="19">
        <f>Z266+Z267+Z270</f>
        <v>2526260</v>
      </c>
    </row>
    <row r="272" spans="1:26" ht="15" thickTop="1" x14ac:dyDescent="0.3">
      <c r="A272" s="2">
        <v>10</v>
      </c>
      <c r="C272" t="s">
        <v>14</v>
      </c>
      <c r="D272" s="9">
        <v>0</v>
      </c>
      <c r="F272" s="9">
        <v>0</v>
      </c>
      <c r="H272" s="11">
        <f t="shared" si="16"/>
        <v>0</v>
      </c>
      <c r="S272" t="s">
        <v>53</v>
      </c>
      <c r="T272" t="s">
        <v>72</v>
      </c>
      <c r="V272" s="9">
        <v>0</v>
      </c>
      <c r="X272" s="9">
        <v>20000</v>
      </c>
      <c r="Z272" s="9">
        <f>SUM(V272,X272)</f>
        <v>20000</v>
      </c>
    </row>
    <row r="273" spans="1:26" ht="15" thickBot="1" x14ac:dyDescent="0.35">
      <c r="A273" s="6" t="s">
        <v>5</v>
      </c>
      <c r="B273" s="7"/>
      <c r="C273" s="7" t="s">
        <v>15</v>
      </c>
      <c r="D273" s="10">
        <f>D270+D271-D272</f>
        <v>-25900</v>
      </c>
      <c r="E273" s="7"/>
      <c r="F273" s="10">
        <f>F270+F271-F272</f>
        <v>0</v>
      </c>
      <c r="G273" s="7"/>
      <c r="H273" s="13">
        <f t="shared" si="16"/>
        <v>-25900</v>
      </c>
      <c r="S273" t="s">
        <v>54</v>
      </c>
      <c r="T273" t="s">
        <v>73</v>
      </c>
      <c r="V273" s="9">
        <v>2160</v>
      </c>
      <c r="Z273" s="9">
        <f>SUM(V273,X273)</f>
        <v>2160</v>
      </c>
    </row>
    <row r="274" spans="1:26" ht="15" thickTop="1" x14ac:dyDescent="0.3">
      <c r="S274" t="s">
        <v>55</v>
      </c>
      <c r="T274" t="s">
        <v>74</v>
      </c>
      <c r="V274" s="9">
        <v>100000</v>
      </c>
      <c r="Z274" s="9">
        <f>SUM(V274,X274)</f>
        <v>100000</v>
      </c>
    </row>
    <row r="275" spans="1:26" ht="15" thickBot="1" x14ac:dyDescent="0.35">
      <c r="S275" s="16" t="s">
        <v>56</v>
      </c>
      <c r="T275" s="16" t="s">
        <v>75</v>
      </c>
      <c r="U275" s="16"/>
      <c r="V275" s="17">
        <v>0</v>
      </c>
      <c r="W275" s="16"/>
      <c r="X275" s="17">
        <v>0</v>
      </c>
      <c r="Y275" s="16"/>
      <c r="Z275" s="17">
        <f>SUM(V275,X275)</f>
        <v>0</v>
      </c>
    </row>
    <row r="276" spans="1:26" x14ac:dyDescent="0.3">
      <c r="S276" t="s">
        <v>57</v>
      </c>
      <c r="T276" t="s">
        <v>76</v>
      </c>
      <c r="V276" s="9">
        <v>102160</v>
      </c>
      <c r="X276" s="9">
        <f>SUM(X272:X275)</f>
        <v>20000</v>
      </c>
      <c r="Z276" s="9">
        <f>SUM(Z272:Z275)</f>
        <v>122160</v>
      </c>
    </row>
    <row r="277" spans="1:26" x14ac:dyDescent="0.3">
      <c r="S277" t="s">
        <v>58</v>
      </c>
      <c r="T277" t="s">
        <v>77</v>
      </c>
      <c r="V277" s="9">
        <v>900000</v>
      </c>
      <c r="Z277" s="9">
        <f>SUM(V277,X277)</f>
        <v>900000</v>
      </c>
    </row>
    <row r="278" spans="1:26" x14ac:dyDescent="0.3">
      <c r="S278" t="s">
        <v>59</v>
      </c>
      <c r="T278" t="s">
        <v>78</v>
      </c>
      <c r="V278" s="9">
        <v>1550000</v>
      </c>
      <c r="X278" s="9">
        <v>0</v>
      </c>
      <c r="Z278" s="9">
        <f>SUM(V278,X278)</f>
        <v>1550000</v>
      </c>
    </row>
    <row r="279" spans="1:26" ht="15" thickBot="1" x14ac:dyDescent="0.35">
      <c r="S279" s="16" t="s">
        <v>60</v>
      </c>
      <c r="T279" s="16" t="s">
        <v>79</v>
      </c>
      <c r="U279" s="16"/>
      <c r="V279" s="17">
        <v>-25900</v>
      </c>
      <c r="W279" s="16"/>
      <c r="X279" s="17"/>
      <c r="Y279" s="16"/>
      <c r="Z279" s="17">
        <f>SUM(V279,X279)</f>
        <v>-25900</v>
      </c>
    </row>
    <row r="280" spans="1:26" x14ac:dyDescent="0.3">
      <c r="S280" t="s">
        <v>61</v>
      </c>
      <c r="T280" t="s">
        <v>80</v>
      </c>
      <c r="V280" s="9">
        <f>V278+V279</f>
        <v>1524100</v>
      </c>
      <c r="X280" s="21">
        <f>X278+X279</f>
        <v>0</v>
      </c>
      <c r="Z280" s="9">
        <f>SUM(V280,X280)</f>
        <v>1524100</v>
      </c>
    </row>
    <row r="281" spans="1:26" ht="15" thickBot="1" x14ac:dyDescent="0.35">
      <c r="S281" s="18" t="s">
        <v>62</v>
      </c>
      <c r="T281" s="18" t="s">
        <v>81</v>
      </c>
      <c r="U281" s="18"/>
      <c r="V281" s="19">
        <f>V276+V277+V280</f>
        <v>2526260</v>
      </c>
      <c r="W281" s="19"/>
      <c r="X281" s="19">
        <f>X276+X277+X280</f>
        <v>20000</v>
      </c>
      <c r="Y281" s="18"/>
      <c r="Z281" s="19">
        <f>SUM(V281,X281)</f>
        <v>2546260</v>
      </c>
    </row>
    <row r="282" spans="1:26" ht="15" thickTop="1" x14ac:dyDescent="0.3"/>
    <row r="284" spans="1:26" x14ac:dyDescent="0.3">
      <c r="A284" s="28" t="s">
        <v>94</v>
      </c>
      <c r="B284" s="28"/>
      <c r="C284" s="28"/>
      <c r="D284" s="28"/>
    </row>
    <row r="285" spans="1:26" ht="25.8" x14ac:dyDescent="0.3">
      <c r="A285" s="26" t="s">
        <v>21</v>
      </c>
      <c r="B285" s="26"/>
      <c r="C285" s="26"/>
      <c r="D285" s="15"/>
      <c r="E285" s="15"/>
      <c r="F285"/>
      <c r="J285" s="26" t="s">
        <v>22</v>
      </c>
      <c r="K285" s="26"/>
      <c r="L285" s="15"/>
      <c r="M285" s="15"/>
      <c r="N285" s="15"/>
      <c r="S285" s="26" t="s">
        <v>0</v>
      </c>
      <c r="T285" s="26"/>
      <c r="U285" s="26"/>
      <c r="V285" s="26"/>
      <c r="W285" s="26"/>
    </row>
    <row r="286" spans="1:26" ht="13.8" customHeight="1" x14ac:dyDescent="0.3">
      <c r="A286" s="15"/>
      <c r="B286" s="15"/>
      <c r="C286" s="15"/>
      <c r="D286" s="15"/>
      <c r="E286" s="15"/>
      <c r="F286"/>
      <c r="J286" s="15"/>
      <c r="K286" s="15"/>
      <c r="L286" s="15"/>
      <c r="M286" s="15"/>
      <c r="N286" s="15"/>
      <c r="S286" s="26"/>
      <c r="T286" s="26"/>
      <c r="U286" s="26"/>
      <c r="V286" s="26"/>
      <c r="W286" s="26"/>
    </row>
    <row r="287" spans="1:26" ht="15" thickBot="1" x14ac:dyDescent="0.35">
      <c r="A287" s="1" t="s">
        <v>1</v>
      </c>
      <c r="B287" s="1"/>
      <c r="C287" s="1"/>
      <c r="D287" s="8" t="s">
        <v>16</v>
      </c>
      <c r="E287" s="3" t="s">
        <v>17</v>
      </c>
      <c r="F287" s="8" t="s">
        <v>18</v>
      </c>
      <c r="G287" s="4" t="s">
        <v>19</v>
      </c>
      <c r="H287" s="1" t="s">
        <v>20</v>
      </c>
      <c r="J287" s="1" t="s">
        <v>1</v>
      </c>
      <c r="K287" s="1"/>
      <c r="L287" s="1"/>
      <c r="M287" s="8" t="s">
        <v>16</v>
      </c>
      <c r="N287" s="3" t="s">
        <v>17</v>
      </c>
      <c r="O287" s="8" t="s">
        <v>18</v>
      </c>
      <c r="P287" s="4" t="s">
        <v>19</v>
      </c>
      <c r="Q287" s="1" t="s">
        <v>20</v>
      </c>
      <c r="S287" s="1" t="s">
        <v>1</v>
      </c>
      <c r="T287" s="1"/>
      <c r="U287" s="1"/>
      <c r="V287" s="8" t="s">
        <v>16</v>
      </c>
      <c r="W287" s="3" t="s">
        <v>17</v>
      </c>
      <c r="X287" s="8" t="s">
        <v>18</v>
      </c>
      <c r="Y287" s="4" t="s">
        <v>19</v>
      </c>
      <c r="Z287" s="8" t="s">
        <v>20</v>
      </c>
    </row>
    <row r="288" spans="1:26" x14ac:dyDescent="0.3">
      <c r="A288" s="2">
        <v>1</v>
      </c>
      <c r="C288" t="s">
        <v>6</v>
      </c>
      <c r="D288" s="9">
        <v>0</v>
      </c>
      <c r="F288" s="9">
        <v>0</v>
      </c>
      <c r="H288" s="11">
        <f>D288+F288</f>
        <v>0</v>
      </c>
      <c r="J288" t="s">
        <v>23</v>
      </c>
      <c r="K288" t="s">
        <v>32</v>
      </c>
      <c r="M288" s="9">
        <v>0</v>
      </c>
      <c r="O288" s="9">
        <v>0</v>
      </c>
      <c r="Q288" s="11">
        <v>0</v>
      </c>
      <c r="S288" t="s">
        <v>43</v>
      </c>
      <c r="T288" t="s">
        <v>63</v>
      </c>
      <c r="V288" s="9">
        <v>776260</v>
      </c>
      <c r="Z288" s="9">
        <f>V288+X288</f>
        <v>776260</v>
      </c>
    </row>
    <row r="289" spans="1:26" ht="15" thickBot="1" x14ac:dyDescent="0.35">
      <c r="A289" s="5">
        <v>2</v>
      </c>
      <c r="B289" s="1"/>
      <c r="C289" s="1" t="s">
        <v>33</v>
      </c>
      <c r="D289" s="8">
        <v>0</v>
      </c>
      <c r="E289" s="1"/>
      <c r="F289" s="8">
        <v>0</v>
      </c>
      <c r="G289" s="1"/>
      <c r="H289" s="12">
        <f t="shared" ref="H289:H298" si="17">D289+F289</f>
        <v>0</v>
      </c>
      <c r="J289" t="s">
        <v>24</v>
      </c>
      <c r="K289" t="s">
        <v>34</v>
      </c>
      <c r="M289" s="9">
        <v>0</v>
      </c>
      <c r="Q289" s="11">
        <f>M289+O289</f>
        <v>0</v>
      </c>
      <c r="S289" t="s">
        <v>46</v>
      </c>
      <c r="T289" t="s">
        <v>64</v>
      </c>
      <c r="V289" s="9">
        <v>0</v>
      </c>
      <c r="X289" s="9">
        <v>0</v>
      </c>
      <c r="Z289" s="9">
        <v>0</v>
      </c>
    </row>
    <row r="290" spans="1:26" ht="15" thickBot="1" x14ac:dyDescent="0.35">
      <c r="A290" s="2" t="s">
        <v>2</v>
      </c>
      <c r="C290" t="s">
        <v>7</v>
      </c>
      <c r="D290" s="9">
        <v>0</v>
      </c>
      <c r="F290" s="9">
        <v>0</v>
      </c>
      <c r="H290" s="11">
        <f t="shared" si="17"/>
        <v>0</v>
      </c>
      <c r="J290" s="1" t="s">
        <v>25</v>
      </c>
      <c r="K290" s="1" t="s">
        <v>35</v>
      </c>
      <c r="L290" s="1"/>
      <c r="M290" s="8">
        <v>23740</v>
      </c>
      <c r="N290" s="1"/>
      <c r="O290" s="8"/>
      <c r="P290" s="1"/>
      <c r="Q290" s="22">
        <f>M290+O290</f>
        <v>23740</v>
      </c>
      <c r="S290" t="s">
        <v>44</v>
      </c>
      <c r="T290" t="s">
        <v>65</v>
      </c>
      <c r="V290" s="9">
        <v>20000</v>
      </c>
      <c r="X290" s="9">
        <v>332400</v>
      </c>
      <c r="Z290" s="9">
        <f>SUM(V290,X290)</f>
        <v>352400</v>
      </c>
    </row>
    <row r="291" spans="1:26" ht="15" thickBot="1" x14ac:dyDescent="0.35">
      <c r="A291" s="2">
        <v>4</v>
      </c>
      <c r="C291" t="s">
        <v>8</v>
      </c>
      <c r="D291" s="9">
        <v>7680</v>
      </c>
      <c r="H291" s="11">
        <f t="shared" si="17"/>
        <v>7680</v>
      </c>
      <c r="J291" t="s">
        <v>26</v>
      </c>
      <c r="K291" t="s">
        <v>36</v>
      </c>
      <c r="M291" s="9">
        <f>M289-M290</f>
        <v>-23740</v>
      </c>
      <c r="O291" s="14">
        <f>O289-O290</f>
        <v>0</v>
      </c>
      <c r="Q291" s="11">
        <f>Q289-Q290</f>
        <v>-23740</v>
      </c>
      <c r="S291" s="16" t="s">
        <v>45</v>
      </c>
      <c r="T291" s="16" t="s">
        <v>82</v>
      </c>
      <c r="U291" s="16"/>
      <c r="V291" s="17">
        <v>0</v>
      </c>
      <c r="W291" s="16"/>
      <c r="X291" s="17">
        <v>0</v>
      </c>
      <c r="Y291" s="16"/>
      <c r="Z291" s="17">
        <v>0</v>
      </c>
    </row>
    <row r="292" spans="1:26" x14ac:dyDescent="0.3">
      <c r="A292" s="2">
        <v>5</v>
      </c>
      <c r="C292" t="s">
        <v>9</v>
      </c>
      <c r="D292" s="9">
        <v>0</v>
      </c>
      <c r="F292" s="9">
        <v>0</v>
      </c>
      <c r="H292" s="11">
        <f t="shared" si="17"/>
        <v>0</v>
      </c>
      <c r="J292" t="s">
        <v>27</v>
      </c>
      <c r="K292" t="s">
        <v>37</v>
      </c>
      <c r="M292" s="9">
        <v>1750000</v>
      </c>
      <c r="O292" s="14"/>
      <c r="Q292" s="11">
        <f>M292+O292</f>
        <v>1750000</v>
      </c>
      <c r="S292" t="s">
        <v>47</v>
      </c>
      <c r="T292" t="s">
        <v>66</v>
      </c>
      <c r="V292" s="9">
        <v>796260</v>
      </c>
      <c r="X292" s="9">
        <f>SUM(X288:X291)</f>
        <v>332400</v>
      </c>
      <c r="Z292" s="9">
        <f>SUM(Z288:Z291)</f>
        <v>1128660</v>
      </c>
    </row>
    <row r="293" spans="1:26" ht="15" thickBot="1" x14ac:dyDescent="0.35">
      <c r="A293" s="5">
        <v>6</v>
      </c>
      <c r="B293" s="1"/>
      <c r="C293" s="1" t="s">
        <v>10</v>
      </c>
      <c r="D293" s="8">
        <v>18220</v>
      </c>
      <c r="E293" s="1"/>
      <c r="F293" s="8">
        <v>0</v>
      </c>
      <c r="G293" s="1"/>
      <c r="H293" s="12">
        <f t="shared" si="17"/>
        <v>18220</v>
      </c>
      <c r="J293" t="s">
        <v>30</v>
      </c>
      <c r="K293" t="s">
        <v>38</v>
      </c>
      <c r="M293" s="9">
        <v>1000000</v>
      </c>
      <c r="O293" s="14"/>
      <c r="Q293" s="11">
        <f>M293+O293</f>
        <v>1000000</v>
      </c>
      <c r="S293" t="s">
        <v>50</v>
      </c>
      <c r="T293" t="s">
        <v>67</v>
      </c>
      <c r="V293" s="9">
        <v>0</v>
      </c>
      <c r="X293" s="9">
        <v>0</v>
      </c>
      <c r="Z293" s="9">
        <f>SUM(V293,X293)</f>
        <v>0</v>
      </c>
    </row>
    <row r="294" spans="1:26" x14ac:dyDescent="0.3">
      <c r="A294" s="2" t="s">
        <v>3</v>
      </c>
      <c r="C294" t="s">
        <v>11</v>
      </c>
      <c r="D294" s="9">
        <f>SUM(D291:D293)</f>
        <v>25900</v>
      </c>
      <c r="F294" s="9">
        <f>SUM(F291:F293)</f>
        <v>0</v>
      </c>
      <c r="H294" s="11">
        <f t="shared" si="17"/>
        <v>25900</v>
      </c>
      <c r="J294" t="s">
        <v>28</v>
      </c>
      <c r="K294" t="s">
        <v>39</v>
      </c>
      <c r="M294" s="9">
        <v>0</v>
      </c>
      <c r="O294" s="14">
        <v>0</v>
      </c>
      <c r="Q294" s="11">
        <f>M294+O294</f>
        <v>0</v>
      </c>
      <c r="S294" t="s">
        <v>48</v>
      </c>
      <c r="T294" t="s">
        <v>68</v>
      </c>
      <c r="V294" s="9">
        <v>1750000</v>
      </c>
      <c r="Z294" s="9">
        <f>SUM(V294,X294)</f>
        <v>1750000</v>
      </c>
    </row>
    <row r="295" spans="1:26" ht="15" thickBot="1" x14ac:dyDescent="0.35">
      <c r="A295" s="2" t="s">
        <v>4</v>
      </c>
      <c r="C295" t="s">
        <v>12</v>
      </c>
      <c r="D295" s="9">
        <f>D290-D294</f>
        <v>-25900</v>
      </c>
      <c r="F295" s="9">
        <f>F290-F294</f>
        <v>0</v>
      </c>
      <c r="H295" s="11">
        <f t="shared" si="17"/>
        <v>-25900</v>
      </c>
      <c r="J295" t="s">
        <v>29</v>
      </c>
      <c r="K295" t="s">
        <v>40</v>
      </c>
      <c r="M295" s="9">
        <v>1550000</v>
      </c>
      <c r="O295" s="14">
        <v>0</v>
      </c>
      <c r="Q295" s="11">
        <f>M295+O295</f>
        <v>1550000</v>
      </c>
      <c r="S295" s="16" t="s">
        <v>49</v>
      </c>
      <c r="T295" s="16" t="s">
        <v>69</v>
      </c>
      <c r="U295" s="16"/>
      <c r="V295" s="17">
        <v>0</v>
      </c>
      <c r="W295" s="16"/>
      <c r="X295" s="17"/>
      <c r="Y295" s="16"/>
      <c r="Z295" s="17"/>
    </row>
    <row r="296" spans="1:26" x14ac:dyDescent="0.3">
      <c r="A296" s="2">
        <v>9</v>
      </c>
      <c r="C296" t="s">
        <v>13</v>
      </c>
      <c r="D296" s="9">
        <v>0</v>
      </c>
      <c r="F296" s="9">
        <v>0</v>
      </c>
      <c r="H296" s="11">
        <f t="shared" si="17"/>
        <v>0</v>
      </c>
      <c r="J296" t="s">
        <v>31</v>
      </c>
      <c r="K296" t="s">
        <v>41</v>
      </c>
      <c r="M296" s="9">
        <f>M288+M291-M292+M293-M294+M295</f>
        <v>776260</v>
      </c>
      <c r="O296" s="9">
        <f>O288+O291-O292+O293-O294+O295</f>
        <v>0</v>
      </c>
      <c r="Q296" s="11">
        <f>Q288+Q291-Q292+Q293-Q294+Q295</f>
        <v>776260</v>
      </c>
      <c r="S296" t="s">
        <v>51</v>
      </c>
      <c r="T296" t="s">
        <v>70</v>
      </c>
      <c r="V296" s="20">
        <f>V294-V295</f>
        <v>1750000</v>
      </c>
      <c r="X296" s="20"/>
      <c r="Z296" s="20">
        <f>Z294-Z295</f>
        <v>1750000</v>
      </c>
    </row>
    <row r="297" spans="1:26" ht="15" thickBot="1" x14ac:dyDescent="0.35">
      <c r="A297" s="2">
        <v>10</v>
      </c>
      <c r="C297" t="s">
        <v>14</v>
      </c>
      <c r="D297" s="9">
        <v>0</v>
      </c>
      <c r="F297" s="9">
        <v>0</v>
      </c>
      <c r="H297" s="11">
        <f t="shared" si="17"/>
        <v>0</v>
      </c>
      <c r="S297" s="18" t="s">
        <v>52</v>
      </c>
      <c r="T297" s="18" t="s">
        <v>71</v>
      </c>
      <c r="U297" s="18"/>
      <c r="V297" s="19">
        <f>V292+V293+V296</f>
        <v>2546260</v>
      </c>
      <c r="W297" s="19"/>
      <c r="X297" s="19">
        <f>X292+X293+X296</f>
        <v>332400</v>
      </c>
      <c r="Y297" s="18"/>
      <c r="Z297" s="19">
        <f>Z292+Z293+Z296</f>
        <v>2878660</v>
      </c>
    </row>
    <row r="298" spans="1:26" ht="15.6" thickTop="1" thickBot="1" x14ac:dyDescent="0.35">
      <c r="A298" s="6" t="s">
        <v>5</v>
      </c>
      <c r="B298" s="7"/>
      <c r="C298" s="7" t="s">
        <v>15</v>
      </c>
      <c r="D298" s="10">
        <f>D295+D296-D297</f>
        <v>-25900</v>
      </c>
      <c r="E298" s="7"/>
      <c r="F298" s="10">
        <f>F295+F296-F297</f>
        <v>0</v>
      </c>
      <c r="G298" s="7"/>
      <c r="H298" s="13">
        <f t="shared" si="17"/>
        <v>-25900</v>
      </c>
      <c r="S298" t="s">
        <v>53</v>
      </c>
      <c r="T298" t="s">
        <v>72</v>
      </c>
      <c r="V298" s="9">
        <v>20000</v>
      </c>
      <c r="X298" s="9">
        <v>332400</v>
      </c>
      <c r="Z298" s="9">
        <f>SUM(V298,X298)</f>
        <v>352400</v>
      </c>
    </row>
    <row r="299" spans="1:26" ht="15" thickTop="1" x14ac:dyDescent="0.3">
      <c r="S299" t="s">
        <v>54</v>
      </c>
      <c r="T299" t="s">
        <v>73</v>
      </c>
      <c r="V299" s="9">
        <v>2160</v>
      </c>
      <c r="Z299" s="9">
        <f>SUM(V299,X299)</f>
        <v>2160</v>
      </c>
    </row>
    <row r="300" spans="1:26" x14ac:dyDescent="0.3">
      <c r="S300" t="s">
        <v>55</v>
      </c>
      <c r="T300" t="s">
        <v>74</v>
      </c>
      <c r="V300" s="9">
        <v>100000</v>
      </c>
      <c r="Z300" s="9">
        <f>SUM(V300,X300)</f>
        <v>100000</v>
      </c>
    </row>
    <row r="301" spans="1:26" ht="15" thickBot="1" x14ac:dyDescent="0.35">
      <c r="S301" s="16" t="s">
        <v>56</v>
      </c>
      <c r="T301" s="16" t="s">
        <v>75</v>
      </c>
      <c r="U301" s="16"/>
      <c r="V301" s="17">
        <v>0</v>
      </c>
      <c r="W301" s="16"/>
      <c r="X301" s="17">
        <v>0</v>
      </c>
      <c r="Y301" s="16"/>
      <c r="Z301" s="17">
        <f>SUM(V301,X301)</f>
        <v>0</v>
      </c>
    </row>
    <row r="302" spans="1:26" x14ac:dyDescent="0.3">
      <c r="S302" t="s">
        <v>57</v>
      </c>
      <c r="T302" t="s">
        <v>76</v>
      </c>
      <c r="V302" s="9">
        <v>122160</v>
      </c>
      <c r="X302" s="9">
        <f>SUM(X298:X301)</f>
        <v>332400</v>
      </c>
      <c r="Z302" s="9">
        <f>SUM(Z298:Z301)</f>
        <v>454560</v>
      </c>
    </row>
    <row r="303" spans="1:26" x14ac:dyDescent="0.3">
      <c r="S303" t="s">
        <v>58</v>
      </c>
      <c r="T303" t="s">
        <v>77</v>
      </c>
      <c r="V303" s="9">
        <v>900000</v>
      </c>
      <c r="Z303" s="9">
        <f>SUM(V303,X303)</f>
        <v>900000</v>
      </c>
    </row>
    <row r="304" spans="1:26" x14ac:dyDescent="0.3">
      <c r="S304" t="s">
        <v>59</v>
      </c>
      <c r="T304" t="s">
        <v>78</v>
      </c>
      <c r="V304" s="9">
        <v>1550000</v>
      </c>
      <c r="X304" s="9">
        <v>0</v>
      </c>
      <c r="Z304" s="9">
        <f>SUM(V304,X304)</f>
        <v>1550000</v>
      </c>
    </row>
    <row r="305" spans="1:26" ht="15" thickBot="1" x14ac:dyDescent="0.35">
      <c r="S305" s="16" t="s">
        <v>60</v>
      </c>
      <c r="T305" s="16" t="s">
        <v>79</v>
      </c>
      <c r="U305" s="16"/>
      <c r="V305" s="17">
        <v>-25900</v>
      </c>
      <c r="W305" s="16"/>
      <c r="X305" s="17"/>
      <c r="Y305" s="16"/>
      <c r="Z305" s="17">
        <f>SUM(V305,X305)</f>
        <v>-25900</v>
      </c>
    </row>
    <row r="306" spans="1:26" x14ac:dyDescent="0.3">
      <c r="S306" t="s">
        <v>61</v>
      </c>
      <c r="T306" t="s">
        <v>80</v>
      </c>
      <c r="V306" s="9">
        <f>V304+V305</f>
        <v>1524100</v>
      </c>
      <c r="X306" s="21">
        <f>X304+X305</f>
        <v>0</v>
      </c>
      <c r="Z306" s="9">
        <f>SUM(V306,X306)</f>
        <v>1524100</v>
      </c>
    </row>
    <row r="307" spans="1:26" ht="15" thickBot="1" x14ac:dyDescent="0.35">
      <c r="S307" s="18" t="s">
        <v>62</v>
      </c>
      <c r="T307" s="18" t="s">
        <v>81</v>
      </c>
      <c r="U307" s="18"/>
      <c r="V307" s="19">
        <f>V302+V303+V306</f>
        <v>2546260</v>
      </c>
      <c r="W307" s="19"/>
      <c r="X307" s="19">
        <f>X302+X303+X306</f>
        <v>332400</v>
      </c>
      <c r="Y307" s="18"/>
      <c r="Z307" s="19">
        <f>SUM(V307,X307)</f>
        <v>2878660</v>
      </c>
    </row>
    <row r="308" spans="1:26" ht="15" thickTop="1" x14ac:dyDescent="0.3"/>
    <row r="310" spans="1:26" x14ac:dyDescent="0.3">
      <c r="A310" s="27" t="s">
        <v>93</v>
      </c>
      <c r="B310" s="27"/>
      <c r="C310" s="27"/>
    </row>
    <row r="311" spans="1:26" ht="25.8" x14ac:dyDescent="0.3">
      <c r="A311" s="26" t="s">
        <v>21</v>
      </c>
      <c r="B311" s="26"/>
      <c r="C311" s="26"/>
      <c r="D311" s="15"/>
      <c r="E311" s="15"/>
      <c r="F311"/>
      <c r="J311" s="26" t="s">
        <v>22</v>
      </c>
      <c r="K311" s="26"/>
      <c r="L311" s="15"/>
      <c r="M311" s="15"/>
      <c r="N311" s="15"/>
      <c r="S311" s="26" t="s">
        <v>0</v>
      </c>
      <c r="T311" s="26"/>
      <c r="U311" s="26"/>
      <c r="V311" s="26"/>
      <c r="W311" s="26"/>
    </row>
    <row r="312" spans="1:26" ht="16.2" customHeight="1" x14ac:dyDescent="0.3">
      <c r="A312" s="15"/>
      <c r="B312" s="15"/>
      <c r="C312" s="15"/>
      <c r="D312" s="15"/>
      <c r="E312" s="15"/>
      <c r="F312"/>
      <c r="J312" s="15"/>
      <c r="K312" s="15"/>
      <c r="L312" s="15"/>
      <c r="M312" s="15"/>
      <c r="N312" s="15"/>
      <c r="S312" s="26"/>
      <c r="T312" s="26"/>
      <c r="U312" s="26"/>
      <c r="V312" s="26"/>
      <c r="W312" s="26"/>
    </row>
    <row r="313" spans="1:26" ht="15" thickBot="1" x14ac:dyDescent="0.35">
      <c r="A313" s="1" t="s">
        <v>1</v>
      </c>
      <c r="B313" s="1"/>
      <c r="C313" s="1"/>
      <c r="D313" s="8" t="s">
        <v>16</v>
      </c>
      <c r="E313" s="3" t="s">
        <v>17</v>
      </c>
      <c r="F313" s="8" t="s">
        <v>18</v>
      </c>
      <c r="G313" s="4" t="s">
        <v>19</v>
      </c>
      <c r="H313" s="1" t="s">
        <v>20</v>
      </c>
      <c r="J313" s="1" t="s">
        <v>1</v>
      </c>
      <c r="K313" s="1"/>
      <c r="L313" s="1"/>
      <c r="M313" s="8" t="s">
        <v>16</v>
      </c>
      <c r="N313" s="3" t="s">
        <v>17</v>
      </c>
      <c r="O313" s="8" t="s">
        <v>18</v>
      </c>
      <c r="P313" s="4" t="s">
        <v>19</v>
      </c>
      <c r="Q313" s="1" t="s">
        <v>20</v>
      </c>
      <c r="S313" s="1" t="s">
        <v>1</v>
      </c>
      <c r="T313" s="1"/>
      <c r="U313" s="1"/>
      <c r="V313" s="8" t="s">
        <v>16</v>
      </c>
      <c r="W313" s="3" t="s">
        <v>17</v>
      </c>
      <c r="X313" s="8" t="s">
        <v>18</v>
      </c>
      <c r="Y313" s="4" t="s">
        <v>19</v>
      </c>
      <c r="Z313" s="8" t="s">
        <v>20</v>
      </c>
    </row>
    <row r="314" spans="1:26" x14ac:dyDescent="0.3">
      <c r="A314" s="2">
        <v>1</v>
      </c>
      <c r="C314" t="s">
        <v>6</v>
      </c>
      <c r="D314" s="9">
        <v>0</v>
      </c>
      <c r="F314" s="9">
        <v>0</v>
      </c>
      <c r="H314" s="11">
        <f>D314+F314</f>
        <v>0</v>
      </c>
      <c r="J314" t="s">
        <v>23</v>
      </c>
      <c r="K314" t="s">
        <v>32</v>
      </c>
      <c r="M314" s="9">
        <v>0</v>
      </c>
      <c r="Q314" s="11">
        <v>0</v>
      </c>
      <c r="S314" t="s">
        <v>43</v>
      </c>
      <c r="T314" t="s">
        <v>63</v>
      </c>
      <c r="V314" s="9">
        <v>776260</v>
      </c>
      <c r="X314" s="9">
        <v>-9020</v>
      </c>
      <c r="Z314" s="9">
        <f>V314+X314</f>
        <v>767240</v>
      </c>
    </row>
    <row r="315" spans="1:26" ht="15" thickBot="1" x14ac:dyDescent="0.35">
      <c r="A315" s="5">
        <v>2</v>
      </c>
      <c r="B315" s="1"/>
      <c r="C315" s="1" t="s">
        <v>33</v>
      </c>
      <c r="D315" s="8">
        <v>0</v>
      </c>
      <c r="E315" s="1"/>
      <c r="F315" s="8">
        <v>0</v>
      </c>
      <c r="G315" s="1"/>
      <c r="H315" s="12">
        <f t="shared" ref="H315:H324" si="18">D315+F315</f>
        <v>0</v>
      </c>
      <c r="J315" t="s">
        <v>24</v>
      </c>
      <c r="K315" t="s">
        <v>34</v>
      </c>
      <c r="M315" s="9">
        <v>0</v>
      </c>
      <c r="Q315" s="11">
        <f>M315+O315</f>
        <v>0</v>
      </c>
      <c r="S315" t="s">
        <v>46</v>
      </c>
      <c r="T315" t="s">
        <v>64</v>
      </c>
      <c r="V315" s="9">
        <v>0</v>
      </c>
      <c r="X315" s="9">
        <v>0</v>
      </c>
      <c r="Z315" s="9">
        <v>0</v>
      </c>
    </row>
    <row r="316" spans="1:26" ht="15" thickBot="1" x14ac:dyDescent="0.35">
      <c r="A316" s="2" t="s">
        <v>2</v>
      </c>
      <c r="C316" t="s">
        <v>7</v>
      </c>
      <c r="D316" s="9">
        <v>0</v>
      </c>
      <c r="F316" s="9">
        <v>0</v>
      </c>
      <c r="H316" s="11">
        <f t="shared" si="18"/>
        <v>0</v>
      </c>
      <c r="J316" s="1" t="s">
        <v>25</v>
      </c>
      <c r="K316" s="1" t="s">
        <v>35</v>
      </c>
      <c r="L316" s="1"/>
      <c r="M316" s="8">
        <v>23740</v>
      </c>
      <c r="N316" s="1"/>
      <c r="O316" s="8">
        <v>9020</v>
      </c>
      <c r="P316" s="1"/>
      <c r="Q316" s="22">
        <f>M316+O316</f>
        <v>32760</v>
      </c>
      <c r="S316" t="s">
        <v>44</v>
      </c>
      <c r="T316" t="s">
        <v>65</v>
      </c>
      <c r="V316" s="9">
        <v>352400</v>
      </c>
      <c r="X316" s="9">
        <v>17180</v>
      </c>
      <c r="Z316" s="9">
        <f>SUM(V316,X316)</f>
        <v>369580</v>
      </c>
    </row>
    <row r="317" spans="1:26" ht="15" thickBot="1" x14ac:dyDescent="0.35">
      <c r="A317" s="2">
        <v>4</v>
      </c>
      <c r="C317" t="s">
        <v>8</v>
      </c>
      <c r="D317" s="9">
        <v>7680</v>
      </c>
      <c r="H317" s="11">
        <f t="shared" si="18"/>
        <v>7680</v>
      </c>
      <c r="J317" t="s">
        <v>26</v>
      </c>
      <c r="K317" t="s">
        <v>36</v>
      </c>
      <c r="M317" s="9">
        <f>M315-M316</f>
        <v>-23740</v>
      </c>
      <c r="O317" s="14">
        <f>O315-O316</f>
        <v>-9020</v>
      </c>
      <c r="Q317" s="11">
        <f>Q315-Q316</f>
        <v>-32760</v>
      </c>
      <c r="S317" s="16" t="s">
        <v>45</v>
      </c>
      <c r="T317" s="16" t="s">
        <v>82</v>
      </c>
      <c r="U317" s="16"/>
      <c r="V317" s="17">
        <v>0</v>
      </c>
      <c r="W317" s="16"/>
      <c r="X317" s="17">
        <v>0</v>
      </c>
      <c r="Y317" s="16"/>
      <c r="Z317" s="17">
        <v>0</v>
      </c>
    </row>
    <row r="318" spans="1:26" x14ac:dyDescent="0.3">
      <c r="A318" s="2">
        <v>5</v>
      </c>
      <c r="C318" t="s">
        <v>9</v>
      </c>
      <c r="D318" s="9">
        <v>0</v>
      </c>
      <c r="F318" s="9">
        <v>0</v>
      </c>
      <c r="H318" s="11">
        <f t="shared" si="18"/>
        <v>0</v>
      </c>
      <c r="J318" t="s">
        <v>27</v>
      </c>
      <c r="K318" t="s">
        <v>37</v>
      </c>
      <c r="M318" s="9">
        <v>1750000</v>
      </c>
      <c r="O318" s="14"/>
      <c r="Q318" s="11">
        <f>M318+O318</f>
        <v>1750000</v>
      </c>
      <c r="S318" t="s">
        <v>47</v>
      </c>
      <c r="T318" t="s">
        <v>66</v>
      </c>
      <c r="V318" s="9">
        <v>796260</v>
      </c>
      <c r="X318" s="9">
        <f>SUM(X314:X317)</f>
        <v>8160</v>
      </c>
      <c r="Z318" s="9">
        <f>SUM(Z314:Z317)</f>
        <v>1136820</v>
      </c>
    </row>
    <row r="319" spans="1:26" ht="15" thickBot="1" x14ac:dyDescent="0.35">
      <c r="A319" s="5">
        <v>6</v>
      </c>
      <c r="B319" s="1"/>
      <c r="C319" s="1" t="s">
        <v>10</v>
      </c>
      <c r="D319" s="8">
        <v>18220</v>
      </c>
      <c r="E319" s="1"/>
      <c r="F319" s="8">
        <v>0</v>
      </c>
      <c r="G319" s="1"/>
      <c r="H319" s="12">
        <f t="shared" si="18"/>
        <v>18220</v>
      </c>
      <c r="J319" t="s">
        <v>30</v>
      </c>
      <c r="K319" t="s">
        <v>38</v>
      </c>
      <c r="M319" s="9">
        <v>1000000</v>
      </c>
      <c r="O319" s="14"/>
      <c r="Q319" s="11">
        <f>M319+O319</f>
        <v>1000000</v>
      </c>
      <c r="S319" t="s">
        <v>50</v>
      </c>
      <c r="T319" t="s">
        <v>67</v>
      </c>
      <c r="V319" s="9">
        <v>0</v>
      </c>
      <c r="X319" s="9">
        <v>0</v>
      </c>
      <c r="Z319" s="9">
        <f>SUM(V319,X319)</f>
        <v>0</v>
      </c>
    </row>
    <row r="320" spans="1:26" x14ac:dyDescent="0.3">
      <c r="A320" s="2" t="s">
        <v>3</v>
      </c>
      <c r="C320" t="s">
        <v>11</v>
      </c>
      <c r="D320" s="9">
        <f>SUM(D317:D319)</f>
        <v>25900</v>
      </c>
      <c r="F320" s="9">
        <f>SUM(F317:F319)</f>
        <v>0</v>
      </c>
      <c r="H320" s="11">
        <f t="shared" si="18"/>
        <v>25900</v>
      </c>
      <c r="J320" t="s">
        <v>28</v>
      </c>
      <c r="K320" t="s">
        <v>39</v>
      </c>
      <c r="M320" s="9">
        <v>0</v>
      </c>
      <c r="O320" s="14">
        <v>0</v>
      </c>
      <c r="Q320" s="11">
        <f>M320+O320</f>
        <v>0</v>
      </c>
      <c r="S320" t="s">
        <v>48</v>
      </c>
      <c r="T320" t="s">
        <v>68</v>
      </c>
      <c r="V320" s="9">
        <v>1750000</v>
      </c>
      <c r="Z320" s="9">
        <f>SUM(V320,X320)</f>
        <v>1750000</v>
      </c>
    </row>
    <row r="321" spans="1:26" ht="15" thickBot="1" x14ac:dyDescent="0.35">
      <c r="A321" s="2" t="s">
        <v>4</v>
      </c>
      <c r="C321" t="s">
        <v>12</v>
      </c>
      <c r="D321" s="9">
        <f>D316-D320</f>
        <v>-25900</v>
      </c>
      <c r="F321" s="9">
        <f>F316-F320</f>
        <v>0</v>
      </c>
      <c r="H321" s="11">
        <f t="shared" si="18"/>
        <v>-25900</v>
      </c>
      <c r="J321" t="s">
        <v>29</v>
      </c>
      <c r="K321" t="s">
        <v>40</v>
      </c>
      <c r="M321" s="9">
        <v>1550000</v>
      </c>
      <c r="O321" s="14">
        <v>0</v>
      </c>
      <c r="Q321" s="11">
        <f>M321+O321</f>
        <v>1550000</v>
      </c>
      <c r="S321" s="16" t="s">
        <v>49</v>
      </c>
      <c r="T321" s="16" t="s">
        <v>69</v>
      </c>
      <c r="U321" s="16"/>
      <c r="V321" s="17">
        <v>0</v>
      </c>
      <c r="W321" s="16"/>
      <c r="X321" s="17"/>
      <c r="Y321" s="16"/>
      <c r="Z321" s="17"/>
    </row>
    <row r="322" spans="1:26" x14ac:dyDescent="0.3">
      <c r="A322" s="2">
        <v>9</v>
      </c>
      <c r="C322" t="s">
        <v>13</v>
      </c>
      <c r="D322" s="9">
        <v>0</v>
      </c>
      <c r="F322" s="9">
        <v>0</v>
      </c>
      <c r="H322" s="11">
        <f t="shared" si="18"/>
        <v>0</v>
      </c>
      <c r="J322" t="s">
        <v>31</v>
      </c>
      <c r="K322" t="s">
        <v>41</v>
      </c>
      <c r="M322" s="9">
        <f>M314+M317-M318+M319-M320+M321</f>
        <v>776260</v>
      </c>
      <c r="O322" s="9">
        <f>O314+O317-O318+O319-O320+O321</f>
        <v>-9020</v>
      </c>
      <c r="Q322" s="11">
        <f>Q314+Q317-Q318+Q319-Q320+Q321</f>
        <v>767240</v>
      </c>
      <c r="S322" t="s">
        <v>51</v>
      </c>
      <c r="T322" t="s">
        <v>70</v>
      </c>
      <c r="V322" s="20">
        <f>V320-V321</f>
        <v>1750000</v>
      </c>
      <c r="X322" s="20"/>
      <c r="Z322" s="20">
        <f>Z320-Z321</f>
        <v>1750000</v>
      </c>
    </row>
    <row r="323" spans="1:26" ht="15" thickBot="1" x14ac:dyDescent="0.35">
      <c r="A323" s="2">
        <v>10</v>
      </c>
      <c r="C323" t="s">
        <v>14</v>
      </c>
      <c r="D323" s="9">
        <v>0</v>
      </c>
      <c r="F323" s="9">
        <v>0</v>
      </c>
      <c r="H323" s="11">
        <f t="shared" si="18"/>
        <v>0</v>
      </c>
      <c r="S323" s="18" t="s">
        <v>52</v>
      </c>
      <c r="T323" s="18" t="s">
        <v>71</v>
      </c>
      <c r="U323" s="18"/>
      <c r="V323" s="19">
        <f>V318+V319+V322</f>
        <v>2546260</v>
      </c>
      <c r="W323" s="19"/>
      <c r="X323" s="19">
        <f>X318+X319+X322</f>
        <v>8160</v>
      </c>
      <c r="Y323" s="18"/>
      <c r="Z323" s="19">
        <f>Z318+Z319+Z322</f>
        <v>2886820</v>
      </c>
    </row>
    <row r="324" spans="1:26" ht="15.6" thickTop="1" thickBot="1" x14ac:dyDescent="0.35">
      <c r="A324" s="6" t="s">
        <v>5</v>
      </c>
      <c r="B324" s="7"/>
      <c r="C324" s="7" t="s">
        <v>15</v>
      </c>
      <c r="D324" s="10">
        <f>D321+D322-D323</f>
        <v>-25900</v>
      </c>
      <c r="E324" s="7"/>
      <c r="F324" s="10">
        <f>F321+F322-F323</f>
        <v>0</v>
      </c>
      <c r="G324" s="7"/>
      <c r="H324" s="13">
        <f t="shared" si="18"/>
        <v>-25900</v>
      </c>
      <c r="S324" t="s">
        <v>53</v>
      </c>
      <c r="T324" t="s">
        <v>72</v>
      </c>
      <c r="V324" s="9">
        <v>352400</v>
      </c>
      <c r="Z324" s="9">
        <f>SUM(V324,X324)</f>
        <v>352400</v>
      </c>
    </row>
    <row r="325" spans="1:26" ht="15" thickTop="1" x14ac:dyDescent="0.3">
      <c r="S325" t="s">
        <v>54</v>
      </c>
      <c r="T325" t="s">
        <v>73</v>
      </c>
      <c r="V325" s="9">
        <v>2160</v>
      </c>
      <c r="X325" s="9">
        <v>8160</v>
      </c>
      <c r="Z325" s="9">
        <f>SUM(V325,X325)</f>
        <v>10320</v>
      </c>
    </row>
    <row r="326" spans="1:26" x14ac:dyDescent="0.3">
      <c r="S326" t="s">
        <v>55</v>
      </c>
      <c r="T326" t="s">
        <v>74</v>
      </c>
      <c r="V326" s="9">
        <v>100000</v>
      </c>
      <c r="Z326" s="9">
        <f>SUM(V326,X326)</f>
        <v>100000</v>
      </c>
    </row>
    <row r="327" spans="1:26" ht="15" thickBot="1" x14ac:dyDescent="0.35">
      <c r="S327" s="16" t="s">
        <v>56</v>
      </c>
      <c r="T327" s="16" t="s">
        <v>75</v>
      </c>
      <c r="U327" s="16"/>
      <c r="V327" s="17">
        <v>0</v>
      </c>
      <c r="W327" s="16"/>
      <c r="X327" s="17">
        <v>0</v>
      </c>
      <c r="Y327" s="16"/>
      <c r="Z327" s="17">
        <f>SUM(V327,X327)</f>
        <v>0</v>
      </c>
    </row>
    <row r="328" spans="1:26" x14ac:dyDescent="0.3">
      <c r="S328" t="s">
        <v>57</v>
      </c>
      <c r="T328" t="s">
        <v>76</v>
      </c>
      <c r="V328" s="9">
        <f>SUM(V324:V327)</f>
        <v>454560</v>
      </c>
      <c r="X328" s="9">
        <f>SUM(X324:X327)</f>
        <v>8160</v>
      </c>
      <c r="Z328" s="9">
        <f>SUM(Z324:Z327)</f>
        <v>462720</v>
      </c>
    </row>
    <row r="329" spans="1:26" x14ac:dyDescent="0.3">
      <c r="S329" t="s">
        <v>58</v>
      </c>
      <c r="T329" t="s">
        <v>77</v>
      </c>
      <c r="V329" s="9">
        <v>900000</v>
      </c>
      <c r="Z329" s="9">
        <f>SUM(V329,X329)</f>
        <v>900000</v>
      </c>
    </row>
    <row r="330" spans="1:26" x14ac:dyDescent="0.3">
      <c r="S330" t="s">
        <v>59</v>
      </c>
      <c r="T330" t="s">
        <v>78</v>
      </c>
      <c r="V330" s="9">
        <v>1550000</v>
      </c>
      <c r="X330" s="9">
        <v>0</v>
      </c>
      <c r="Z330" s="9">
        <f>SUM(V330,X330)</f>
        <v>1550000</v>
      </c>
    </row>
    <row r="331" spans="1:26" ht="15" thickBot="1" x14ac:dyDescent="0.35">
      <c r="S331" s="16" t="s">
        <v>60</v>
      </c>
      <c r="T331" s="16" t="s">
        <v>79</v>
      </c>
      <c r="U331" s="16"/>
      <c r="V331" s="17">
        <v>-25900</v>
      </c>
      <c r="W331" s="16"/>
      <c r="X331" s="17"/>
      <c r="Y331" s="16"/>
      <c r="Z331" s="17">
        <f>SUM(V331,X331)</f>
        <v>-25900</v>
      </c>
    </row>
    <row r="332" spans="1:26" x14ac:dyDescent="0.3">
      <c r="S332" t="s">
        <v>61</v>
      </c>
      <c r="T332" t="s">
        <v>80</v>
      </c>
      <c r="V332" s="9">
        <f>V330+V331</f>
        <v>1524100</v>
      </c>
      <c r="X332" s="21">
        <f>X330+X331</f>
        <v>0</v>
      </c>
      <c r="Z332" s="9">
        <f>SUM(V332,X332)</f>
        <v>1524100</v>
      </c>
    </row>
    <row r="333" spans="1:26" ht="15" thickBot="1" x14ac:dyDescent="0.35">
      <c r="S333" s="18" t="s">
        <v>62</v>
      </c>
      <c r="T333" s="18" t="s">
        <v>81</v>
      </c>
      <c r="U333" s="18"/>
      <c r="V333" s="19">
        <f>V328+V329+V332</f>
        <v>2878660</v>
      </c>
      <c r="W333" s="19"/>
      <c r="X333" s="19">
        <f>X328+X329+X332</f>
        <v>8160</v>
      </c>
      <c r="Y333" s="18"/>
      <c r="Z333" s="19">
        <f>SUM(V333,X333)</f>
        <v>2886820</v>
      </c>
    </row>
    <row r="334" spans="1:26" ht="15" thickTop="1" x14ac:dyDescent="0.3"/>
    <row r="335" spans="1:26" x14ac:dyDescent="0.3">
      <c r="A335" s="27" t="s">
        <v>95</v>
      </c>
      <c r="B335" s="27"/>
      <c r="C335" s="27"/>
      <c r="D335" s="27"/>
      <c r="E335" s="27"/>
    </row>
    <row r="337" spans="1:26" ht="25.8" x14ac:dyDescent="0.3">
      <c r="A337" s="26" t="s">
        <v>21</v>
      </c>
      <c r="B337" s="26"/>
      <c r="C337" s="26"/>
      <c r="D337" s="15"/>
      <c r="E337" s="15"/>
      <c r="F337"/>
      <c r="J337" s="26" t="s">
        <v>22</v>
      </c>
      <c r="K337" s="26"/>
      <c r="L337" s="15"/>
      <c r="M337" s="15"/>
      <c r="N337" s="15"/>
      <c r="S337" s="26" t="s">
        <v>0</v>
      </c>
      <c r="T337" s="26"/>
      <c r="U337" s="26"/>
      <c r="V337" s="26"/>
      <c r="W337" s="26"/>
    </row>
    <row r="338" spans="1:26" ht="11.4" customHeight="1" x14ac:dyDescent="0.3">
      <c r="A338" s="15"/>
      <c r="B338" s="15"/>
      <c r="C338" s="15"/>
      <c r="D338" s="15"/>
      <c r="E338" s="15"/>
      <c r="F338"/>
      <c r="J338" s="15"/>
      <c r="K338" s="15"/>
      <c r="L338" s="15"/>
      <c r="M338" s="15"/>
      <c r="N338" s="15"/>
      <c r="S338" s="26"/>
      <c r="T338" s="26"/>
      <c r="U338" s="26"/>
      <c r="V338" s="26"/>
      <c r="W338" s="26"/>
    </row>
    <row r="339" spans="1:26" ht="15" thickBot="1" x14ac:dyDescent="0.35">
      <c r="A339" s="1" t="s">
        <v>1</v>
      </c>
      <c r="B339" s="1"/>
      <c r="C339" s="1"/>
      <c r="D339" s="8" t="s">
        <v>16</v>
      </c>
      <c r="E339" s="3" t="s">
        <v>17</v>
      </c>
      <c r="F339" s="8" t="s">
        <v>18</v>
      </c>
      <c r="G339" s="4" t="s">
        <v>19</v>
      </c>
      <c r="H339" s="1" t="s">
        <v>20</v>
      </c>
      <c r="J339" s="1" t="s">
        <v>1</v>
      </c>
      <c r="K339" s="1"/>
      <c r="L339" s="1"/>
      <c r="M339" s="8" t="s">
        <v>16</v>
      </c>
      <c r="N339" s="3" t="s">
        <v>17</v>
      </c>
      <c r="O339" s="8" t="s">
        <v>18</v>
      </c>
      <c r="P339" s="4" t="s">
        <v>19</v>
      </c>
      <c r="Q339" s="1" t="s">
        <v>20</v>
      </c>
      <c r="S339" s="1" t="s">
        <v>1</v>
      </c>
      <c r="T339" s="1"/>
      <c r="U339" s="1"/>
      <c r="V339" s="8" t="s">
        <v>16</v>
      </c>
      <c r="W339" s="3" t="s">
        <v>17</v>
      </c>
      <c r="X339" s="8" t="s">
        <v>18</v>
      </c>
      <c r="Y339" s="4" t="s">
        <v>19</v>
      </c>
      <c r="Z339" s="8" t="s">
        <v>20</v>
      </c>
    </row>
    <row r="340" spans="1:26" x14ac:dyDescent="0.3">
      <c r="A340" s="2">
        <v>1</v>
      </c>
      <c r="C340" t="s">
        <v>6</v>
      </c>
      <c r="D340" s="9">
        <v>0</v>
      </c>
      <c r="F340" s="9">
        <v>0</v>
      </c>
      <c r="H340" s="11">
        <f>D340+F340</f>
        <v>0</v>
      </c>
      <c r="J340" t="s">
        <v>23</v>
      </c>
      <c r="K340" t="s">
        <v>32</v>
      </c>
      <c r="M340" s="9">
        <v>0</v>
      </c>
      <c r="Q340" s="11">
        <v>0</v>
      </c>
      <c r="S340" t="s">
        <v>43</v>
      </c>
      <c r="T340" t="s">
        <v>63</v>
      </c>
      <c r="V340" s="9">
        <v>767240</v>
      </c>
      <c r="Z340" s="9">
        <f>V340+X340</f>
        <v>767240</v>
      </c>
    </row>
    <row r="341" spans="1:26" ht="15" thickBot="1" x14ac:dyDescent="0.35">
      <c r="A341" s="5">
        <v>2</v>
      </c>
      <c r="B341" s="1"/>
      <c r="C341" s="1" t="s">
        <v>33</v>
      </c>
      <c r="D341" s="8">
        <v>0</v>
      </c>
      <c r="E341" s="1"/>
      <c r="F341" s="8">
        <v>0</v>
      </c>
      <c r="G341" s="1"/>
      <c r="H341" s="12">
        <f t="shared" ref="H341:H350" si="19">D341+F341</f>
        <v>0</v>
      </c>
      <c r="J341" t="s">
        <v>24</v>
      </c>
      <c r="K341" t="s">
        <v>34</v>
      </c>
      <c r="M341" s="9">
        <v>0</v>
      </c>
      <c r="Q341" s="11">
        <f>M341+O341</f>
        <v>0</v>
      </c>
      <c r="S341" t="s">
        <v>46</v>
      </c>
      <c r="T341" t="s">
        <v>64</v>
      </c>
      <c r="V341" s="9">
        <v>0</v>
      </c>
      <c r="X341" s="9">
        <v>0</v>
      </c>
      <c r="Z341" s="9">
        <v>0</v>
      </c>
    </row>
    <row r="342" spans="1:26" ht="15" thickBot="1" x14ac:dyDescent="0.35">
      <c r="A342" s="2" t="s">
        <v>2</v>
      </c>
      <c r="C342" t="s">
        <v>7</v>
      </c>
      <c r="D342" s="9">
        <v>0</v>
      </c>
      <c r="F342" s="9">
        <v>0</v>
      </c>
      <c r="H342" s="11">
        <f t="shared" si="19"/>
        <v>0</v>
      </c>
      <c r="J342" s="1" t="s">
        <v>25</v>
      </c>
      <c r="K342" s="1" t="s">
        <v>35</v>
      </c>
      <c r="L342" s="1"/>
      <c r="M342" s="8">
        <v>32760</v>
      </c>
      <c r="N342" s="1"/>
      <c r="O342" s="8"/>
      <c r="P342" s="1"/>
      <c r="Q342" s="22">
        <f>M342+O342</f>
        <v>32760</v>
      </c>
      <c r="S342" t="s">
        <v>44</v>
      </c>
      <c r="T342" t="s">
        <v>65</v>
      </c>
      <c r="V342" s="9">
        <v>369580</v>
      </c>
      <c r="X342" s="9">
        <v>15820</v>
      </c>
      <c r="Z342" s="9">
        <f>SUM(V342,X342)</f>
        <v>385400</v>
      </c>
    </row>
    <row r="343" spans="1:26" ht="15" thickBot="1" x14ac:dyDescent="0.35">
      <c r="A343" s="2">
        <v>4</v>
      </c>
      <c r="C343" t="s">
        <v>8</v>
      </c>
      <c r="D343" s="9">
        <v>7680</v>
      </c>
      <c r="H343" s="11">
        <f t="shared" si="19"/>
        <v>7680</v>
      </c>
      <c r="J343" t="s">
        <v>26</v>
      </c>
      <c r="K343" t="s">
        <v>36</v>
      </c>
      <c r="M343" s="9">
        <f>M341-M342</f>
        <v>-32760</v>
      </c>
      <c r="O343" s="14">
        <f>O341-O342</f>
        <v>0</v>
      </c>
      <c r="Q343" s="11">
        <f>Q341-Q342</f>
        <v>-32760</v>
      </c>
      <c r="S343" s="16" t="s">
        <v>45</v>
      </c>
      <c r="T343" s="16" t="s">
        <v>82</v>
      </c>
      <c r="U343" s="16"/>
      <c r="V343" s="17">
        <v>0</v>
      </c>
      <c r="W343" s="16"/>
      <c r="X343" s="17">
        <v>0</v>
      </c>
      <c r="Y343" s="16"/>
      <c r="Z343" s="17">
        <v>0</v>
      </c>
    </row>
    <row r="344" spans="1:26" x14ac:dyDescent="0.3">
      <c r="A344" s="2">
        <v>5</v>
      </c>
      <c r="C344" t="s">
        <v>9</v>
      </c>
      <c r="D344" s="9">
        <v>0</v>
      </c>
      <c r="F344" s="9">
        <v>0</v>
      </c>
      <c r="H344" s="11">
        <f t="shared" si="19"/>
        <v>0</v>
      </c>
      <c r="J344" t="s">
        <v>27</v>
      </c>
      <c r="K344" t="s">
        <v>37</v>
      </c>
      <c r="M344" s="9">
        <v>1750000</v>
      </c>
      <c r="O344" s="14"/>
      <c r="Q344" s="11">
        <f>M344+O344</f>
        <v>1750000</v>
      </c>
      <c r="S344" t="s">
        <v>47</v>
      </c>
      <c r="T344" t="s">
        <v>66</v>
      </c>
      <c r="V344" s="9">
        <f>SUM(V340:V343)</f>
        <v>1136820</v>
      </c>
      <c r="X344" s="9">
        <f>SUM(X340:X343)</f>
        <v>15820</v>
      </c>
      <c r="Z344" s="9">
        <f>SUM(Z340:Z343)</f>
        <v>1152640</v>
      </c>
    </row>
    <row r="345" spans="1:26" ht="15" thickBot="1" x14ac:dyDescent="0.35">
      <c r="A345" s="5">
        <v>6</v>
      </c>
      <c r="B345" s="1"/>
      <c r="C345" s="1" t="s">
        <v>10</v>
      </c>
      <c r="D345" s="8">
        <v>18220</v>
      </c>
      <c r="E345" s="1"/>
      <c r="F345" s="8">
        <v>0</v>
      </c>
      <c r="G345" s="1"/>
      <c r="H345" s="12">
        <f t="shared" si="19"/>
        <v>18220</v>
      </c>
      <c r="J345" t="s">
        <v>30</v>
      </c>
      <c r="K345" t="s">
        <v>38</v>
      </c>
      <c r="M345" s="9">
        <v>1000000</v>
      </c>
      <c r="O345" s="14"/>
      <c r="Q345" s="11">
        <f>M345+O345</f>
        <v>1000000</v>
      </c>
      <c r="S345" t="s">
        <v>50</v>
      </c>
      <c r="T345" t="s">
        <v>67</v>
      </c>
      <c r="V345" s="9">
        <v>0</v>
      </c>
      <c r="X345" s="9">
        <v>0</v>
      </c>
      <c r="Z345" s="9">
        <f>SUM(V345,X345)</f>
        <v>0</v>
      </c>
    </row>
    <row r="346" spans="1:26" x14ac:dyDescent="0.3">
      <c r="A346" s="2" t="s">
        <v>3</v>
      </c>
      <c r="C346" t="s">
        <v>11</v>
      </c>
      <c r="D346" s="9">
        <f>SUM(D343:D345)</f>
        <v>25900</v>
      </c>
      <c r="F346" s="9">
        <f>SUM(F343:F345)</f>
        <v>0</v>
      </c>
      <c r="H346" s="11">
        <f t="shared" si="19"/>
        <v>25900</v>
      </c>
      <c r="J346" t="s">
        <v>28</v>
      </c>
      <c r="K346" t="s">
        <v>39</v>
      </c>
      <c r="M346" s="9">
        <v>0</v>
      </c>
      <c r="O346" s="14">
        <v>0</v>
      </c>
      <c r="Q346" s="11">
        <f>M346+O346</f>
        <v>0</v>
      </c>
      <c r="S346" t="s">
        <v>48</v>
      </c>
      <c r="T346" t="s">
        <v>68</v>
      </c>
      <c r="V346" s="9">
        <v>1750000</v>
      </c>
      <c r="Z346" s="9">
        <f>SUM(V346,X346)</f>
        <v>1750000</v>
      </c>
    </row>
    <row r="347" spans="1:26" ht="15" thickBot="1" x14ac:dyDescent="0.35">
      <c r="A347" s="2" t="s">
        <v>4</v>
      </c>
      <c r="C347" t="s">
        <v>12</v>
      </c>
      <c r="D347" s="9">
        <f>D342-D346</f>
        <v>-25900</v>
      </c>
      <c r="F347" s="9">
        <f>F342-F346</f>
        <v>0</v>
      </c>
      <c r="H347" s="11">
        <f t="shared" si="19"/>
        <v>-25900</v>
      </c>
      <c r="J347" t="s">
        <v>29</v>
      </c>
      <c r="K347" t="s">
        <v>40</v>
      </c>
      <c r="M347" s="9">
        <v>1550000</v>
      </c>
      <c r="O347" s="14">
        <v>0</v>
      </c>
      <c r="Q347" s="11">
        <f>M347+O347</f>
        <v>1550000</v>
      </c>
      <c r="S347" s="16" t="s">
        <v>49</v>
      </c>
      <c r="T347" s="16" t="s">
        <v>69</v>
      </c>
      <c r="U347" s="16"/>
      <c r="V347" s="17">
        <v>0</v>
      </c>
      <c r="W347" s="16"/>
      <c r="X347" s="17">
        <v>7143</v>
      </c>
      <c r="Y347" s="16"/>
      <c r="Z347" s="17">
        <f>V347+X347</f>
        <v>7143</v>
      </c>
    </row>
    <row r="348" spans="1:26" x14ac:dyDescent="0.3">
      <c r="A348" s="2">
        <v>9</v>
      </c>
      <c r="C348" t="s">
        <v>13</v>
      </c>
      <c r="D348" s="9">
        <v>0</v>
      </c>
      <c r="F348" s="9">
        <v>0</v>
      </c>
      <c r="H348" s="11">
        <f t="shared" si="19"/>
        <v>0</v>
      </c>
      <c r="J348" t="s">
        <v>31</v>
      </c>
      <c r="K348" t="s">
        <v>41</v>
      </c>
      <c r="M348" s="9">
        <f>M340+M343-M344+M345-M346+M347</f>
        <v>767240</v>
      </c>
      <c r="O348" s="9">
        <f>O340+O343-O344+O345-O346+O347</f>
        <v>0</v>
      </c>
      <c r="Q348" s="11">
        <f>Q340+Q343-Q344+Q345-Q346+Q347</f>
        <v>767240</v>
      </c>
      <c r="S348" t="s">
        <v>51</v>
      </c>
      <c r="T348" t="s">
        <v>70</v>
      </c>
      <c r="V348" s="20">
        <f>V346-V347</f>
        <v>1750000</v>
      </c>
      <c r="X348" s="20">
        <f>X346-X347</f>
        <v>-7143</v>
      </c>
      <c r="Z348" s="20">
        <f>Z346-Z347</f>
        <v>1742857</v>
      </c>
    </row>
    <row r="349" spans="1:26" ht="15" thickBot="1" x14ac:dyDescent="0.35">
      <c r="A349" s="2">
        <v>10</v>
      </c>
      <c r="C349" t="s">
        <v>14</v>
      </c>
      <c r="D349" s="9">
        <v>0</v>
      </c>
      <c r="F349" s="9">
        <v>0</v>
      </c>
      <c r="H349" s="11">
        <f t="shared" si="19"/>
        <v>0</v>
      </c>
      <c r="S349" s="18" t="s">
        <v>52</v>
      </c>
      <c r="T349" s="18" t="s">
        <v>71</v>
      </c>
      <c r="U349" s="18"/>
      <c r="V349" s="19">
        <f>V344+V345+V348</f>
        <v>2886820</v>
      </c>
      <c r="W349" s="19"/>
      <c r="X349" s="19">
        <f>X344+X345+X348</f>
        <v>8677</v>
      </c>
      <c r="Y349" s="18"/>
      <c r="Z349" s="19">
        <f>Z344+Z345+Z348</f>
        <v>2895497</v>
      </c>
    </row>
    <row r="350" spans="1:26" ht="15.6" thickTop="1" thickBot="1" x14ac:dyDescent="0.35">
      <c r="A350" s="6" t="s">
        <v>5</v>
      </c>
      <c r="B350" s="7"/>
      <c r="C350" s="7" t="s">
        <v>15</v>
      </c>
      <c r="D350" s="10">
        <f>D347+D348-D349</f>
        <v>-25900</v>
      </c>
      <c r="E350" s="7"/>
      <c r="F350" s="10">
        <f>F347+F348-F349</f>
        <v>0</v>
      </c>
      <c r="G350" s="7"/>
      <c r="H350" s="13">
        <f t="shared" si="19"/>
        <v>-25900</v>
      </c>
      <c r="S350" t="s">
        <v>53</v>
      </c>
      <c r="T350" t="s">
        <v>72</v>
      </c>
      <c r="V350" s="9">
        <v>352400</v>
      </c>
      <c r="X350" s="9">
        <v>8677</v>
      </c>
      <c r="Z350" s="9">
        <f>SUM(V350,X350)</f>
        <v>361077</v>
      </c>
    </row>
    <row r="351" spans="1:26" ht="15" thickTop="1" x14ac:dyDescent="0.3">
      <c r="S351" t="s">
        <v>54</v>
      </c>
      <c r="T351" t="s">
        <v>73</v>
      </c>
      <c r="V351" s="9">
        <v>10320</v>
      </c>
      <c r="Z351" s="9">
        <f>SUM(V351,X351)</f>
        <v>10320</v>
      </c>
    </row>
    <row r="352" spans="1:26" x14ac:dyDescent="0.3">
      <c r="S352" t="s">
        <v>55</v>
      </c>
      <c r="T352" t="s">
        <v>74</v>
      </c>
      <c r="V352" s="9">
        <v>100000</v>
      </c>
      <c r="Z352" s="9">
        <f>SUM(V352,X352)</f>
        <v>100000</v>
      </c>
    </row>
    <row r="353" spans="1:26" ht="15" thickBot="1" x14ac:dyDescent="0.35">
      <c r="S353" s="16" t="s">
        <v>56</v>
      </c>
      <c r="T353" s="16" t="s">
        <v>75</v>
      </c>
      <c r="U353" s="16"/>
      <c r="V353" s="17">
        <v>0</v>
      </c>
      <c r="W353" s="16"/>
      <c r="X353" s="17">
        <v>0</v>
      </c>
      <c r="Y353" s="16"/>
      <c r="Z353" s="17">
        <f>SUM(V353,X353)</f>
        <v>0</v>
      </c>
    </row>
    <row r="354" spans="1:26" x14ac:dyDescent="0.3">
      <c r="S354" t="s">
        <v>57</v>
      </c>
      <c r="T354" t="s">
        <v>76</v>
      </c>
      <c r="V354" s="9">
        <f>SUM(V350:V353)</f>
        <v>462720</v>
      </c>
      <c r="X354" s="9">
        <f>SUM(X350:X353)</f>
        <v>8677</v>
      </c>
      <c r="Z354" s="9">
        <f>SUM(Z350:Z353)</f>
        <v>471397</v>
      </c>
    </row>
    <row r="355" spans="1:26" x14ac:dyDescent="0.3">
      <c r="S355" t="s">
        <v>58</v>
      </c>
      <c r="T355" t="s">
        <v>77</v>
      </c>
      <c r="V355" s="9">
        <v>900000</v>
      </c>
      <c r="Z355" s="9">
        <f>SUM(V355,X355)</f>
        <v>900000</v>
      </c>
    </row>
    <row r="356" spans="1:26" x14ac:dyDescent="0.3">
      <c r="S356" t="s">
        <v>59</v>
      </c>
      <c r="T356" t="s">
        <v>78</v>
      </c>
      <c r="V356" s="9">
        <v>1550000</v>
      </c>
      <c r="X356" s="9">
        <v>0</v>
      </c>
      <c r="Z356" s="9">
        <f>SUM(V356,X356)</f>
        <v>1550000</v>
      </c>
    </row>
    <row r="357" spans="1:26" ht="15" thickBot="1" x14ac:dyDescent="0.35">
      <c r="S357" s="16" t="s">
        <v>60</v>
      </c>
      <c r="T357" s="16" t="s">
        <v>79</v>
      </c>
      <c r="U357" s="16"/>
      <c r="V357" s="17">
        <v>-25900</v>
      </c>
      <c r="W357" s="16"/>
      <c r="X357" s="17"/>
      <c r="Y357" s="16"/>
      <c r="Z357" s="17">
        <f>SUM(V357,X357)</f>
        <v>-25900</v>
      </c>
    </row>
    <row r="358" spans="1:26" x14ac:dyDescent="0.3">
      <c r="S358" t="s">
        <v>61</v>
      </c>
      <c r="T358" t="s">
        <v>80</v>
      </c>
      <c r="V358" s="9">
        <f>V356+V357</f>
        <v>1524100</v>
      </c>
      <c r="X358" s="21">
        <f>X356+X357</f>
        <v>0</v>
      </c>
      <c r="Z358" s="9">
        <f>SUM(V358,X358)</f>
        <v>1524100</v>
      </c>
    </row>
    <row r="359" spans="1:26" ht="15" thickBot="1" x14ac:dyDescent="0.35">
      <c r="S359" s="18" t="s">
        <v>62</v>
      </c>
      <c r="T359" s="18" t="s">
        <v>81</v>
      </c>
      <c r="U359" s="18"/>
      <c r="V359" s="19">
        <f>V354+V355+V358</f>
        <v>2886820</v>
      </c>
      <c r="W359" s="19"/>
      <c r="X359" s="19">
        <f>X354+X355+X358</f>
        <v>8677</v>
      </c>
      <c r="Y359" s="18"/>
      <c r="Z359" s="19">
        <f>SUM(V359,X359)</f>
        <v>2895497</v>
      </c>
    </row>
    <row r="360" spans="1:26" ht="15" thickTop="1" x14ac:dyDescent="0.3">
      <c r="A360" s="27" t="s">
        <v>96</v>
      </c>
      <c r="B360" s="27"/>
      <c r="C360" s="27"/>
    </row>
    <row r="362" spans="1:26" ht="25.8" x14ac:dyDescent="0.3">
      <c r="A362" s="26" t="s">
        <v>21</v>
      </c>
      <c r="B362" s="26"/>
      <c r="C362" s="26"/>
      <c r="D362" s="15"/>
      <c r="E362" s="15"/>
      <c r="F362"/>
      <c r="J362" s="26" t="s">
        <v>22</v>
      </c>
      <c r="K362" s="26"/>
      <c r="L362" s="15"/>
      <c r="M362" s="15"/>
      <c r="N362" s="15"/>
      <c r="S362" s="26" t="s">
        <v>0</v>
      </c>
      <c r="T362" s="26"/>
      <c r="U362" s="26"/>
      <c r="V362" s="26"/>
      <c r="W362" s="26"/>
    </row>
    <row r="363" spans="1:26" ht="17.399999999999999" customHeight="1" x14ac:dyDescent="0.3">
      <c r="A363" s="15"/>
      <c r="B363" s="15"/>
      <c r="C363" s="15"/>
      <c r="D363" s="15"/>
      <c r="E363" s="15"/>
      <c r="F363"/>
      <c r="J363" s="15"/>
      <c r="K363" s="15"/>
      <c r="L363" s="15"/>
      <c r="M363" s="15"/>
      <c r="N363" s="15"/>
      <c r="S363" s="26"/>
      <c r="T363" s="26"/>
      <c r="U363" s="26"/>
      <c r="V363" s="26"/>
      <c r="W363" s="26"/>
    </row>
    <row r="364" spans="1:26" ht="15" thickBot="1" x14ac:dyDescent="0.35">
      <c r="A364" s="1" t="s">
        <v>1</v>
      </c>
      <c r="B364" s="1"/>
      <c r="C364" s="1"/>
      <c r="D364" s="8" t="s">
        <v>16</v>
      </c>
      <c r="E364" s="3" t="s">
        <v>17</v>
      </c>
      <c r="F364" s="8" t="s">
        <v>18</v>
      </c>
      <c r="G364" s="4" t="s">
        <v>19</v>
      </c>
      <c r="H364" s="1" t="s">
        <v>20</v>
      </c>
      <c r="J364" s="1" t="s">
        <v>1</v>
      </c>
      <c r="K364" s="1"/>
      <c r="L364" s="1"/>
      <c r="M364" s="8" t="s">
        <v>16</v>
      </c>
      <c r="N364" s="3" t="s">
        <v>17</v>
      </c>
      <c r="O364" s="8" t="s">
        <v>18</v>
      </c>
      <c r="P364" s="4" t="s">
        <v>19</v>
      </c>
      <c r="Q364" s="1" t="s">
        <v>20</v>
      </c>
      <c r="S364" s="1" t="s">
        <v>1</v>
      </c>
      <c r="T364" s="1"/>
      <c r="U364" s="1"/>
      <c r="V364" s="8" t="s">
        <v>16</v>
      </c>
      <c r="W364" s="3" t="s">
        <v>17</v>
      </c>
      <c r="X364" s="8" t="s">
        <v>18</v>
      </c>
      <c r="Y364" s="4" t="s">
        <v>19</v>
      </c>
      <c r="Z364" s="8" t="s">
        <v>20</v>
      </c>
    </row>
    <row r="365" spans="1:26" x14ac:dyDescent="0.3">
      <c r="A365" s="2">
        <v>1</v>
      </c>
      <c r="C365" t="s">
        <v>6</v>
      </c>
      <c r="D365" s="9">
        <v>0</v>
      </c>
      <c r="F365" s="9">
        <v>0</v>
      </c>
      <c r="H365" s="11">
        <f>D365+F365</f>
        <v>0</v>
      </c>
      <c r="J365" t="s">
        <v>23</v>
      </c>
      <c r="K365" t="s">
        <v>32</v>
      </c>
      <c r="M365" s="9">
        <v>0</v>
      </c>
      <c r="Q365" s="11">
        <v>0</v>
      </c>
      <c r="S365" t="s">
        <v>43</v>
      </c>
      <c r="T365" t="s">
        <v>63</v>
      </c>
      <c r="V365" s="9">
        <v>767240</v>
      </c>
      <c r="X365" s="9">
        <v>-20000</v>
      </c>
      <c r="Z365" s="9">
        <f>V365+X365</f>
        <v>747240</v>
      </c>
    </row>
    <row r="366" spans="1:26" ht="15" thickBot="1" x14ac:dyDescent="0.35">
      <c r="A366" s="5">
        <v>2</v>
      </c>
      <c r="B366" s="1"/>
      <c r="C366" s="1" t="s">
        <v>33</v>
      </c>
      <c r="D366" s="8">
        <v>0</v>
      </c>
      <c r="E366" s="1"/>
      <c r="F366" s="8">
        <v>0</v>
      </c>
      <c r="G366" s="1"/>
      <c r="H366" s="12">
        <f t="shared" ref="H366:H375" si="20">D366+F366</f>
        <v>0</v>
      </c>
      <c r="J366" t="s">
        <v>24</v>
      </c>
      <c r="K366" t="s">
        <v>34</v>
      </c>
      <c r="M366" s="9">
        <v>0</v>
      </c>
      <c r="Q366" s="11">
        <f>M366+O366</f>
        <v>0</v>
      </c>
      <c r="S366" t="s">
        <v>46</v>
      </c>
      <c r="T366" t="s">
        <v>64</v>
      </c>
      <c r="V366" s="9">
        <v>0</v>
      </c>
      <c r="X366" s="9">
        <v>0</v>
      </c>
      <c r="Z366" s="9">
        <v>0</v>
      </c>
    </row>
    <row r="367" spans="1:26" ht="15" thickBot="1" x14ac:dyDescent="0.35">
      <c r="A367" s="2" t="s">
        <v>2</v>
      </c>
      <c r="C367" t="s">
        <v>7</v>
      </c>
      <c r="D367" s="9">
        <v>0</v>
      </c>
      <c r="F367" s="9">
        <v>0</v>
      </c>
      <c r="H367" s="11">
        <f t="shared" si="20"/>
        <v>0</v>
      </c>
      <c r="J367" s="1" t="s">
        <v>25</v>
      </c>
      <c r="K367" s="1" t="s">
        <v>35</v>
      </c>
      <c r="L367" s="1"/>
      <c r="M367" s="8">
        <v>32760</v>
      </c>
      <c r="N367" s="1"/>
      <c r="O367" s="8">
        <v>20000</v>
      </c>
      <c r="P367" s="1"/>
      <c r="Q367" s="22">
        <f>M367+O367</f>
        <v>52760</v>
      </c>
      <c r="S367" t="s">
        <v>44</v>
      </c>
      <c r="T367" t="s">
        <v>65</v>
      </c>
      <c r="V367" s="9">
        <v>385400</v>
      </c>
      <c r="Z367" s="9">
        <f>SUM(V367,X367)</f>
        <v>385400</v>
      </c>
    </row>
    <row r="368" spans="1:26" ht="15" thickBot="1" x14ac:dyDescent="0.35">
      <c r="A368" s="2">
        <v>4</v>
      </c>
      <c r="C368" t="s">
        <v>8</v>
      </c>
      <c r="D368" s="9">
        <v>7680</v>
      </c>
      <c r="H368" s="11">
        <f t="shared" si="20"/>
        <v>7680</v>
      </c>
      <c r="J368" t="s">
        <v>26</v>
      </c>
      <c r="K368" t="s">
        <v>36</v>
      </c>
      <c r="M368" s="9">
        <f>M366-M367</f>
        <v>-32760</v>
      </c>
      <c r="O368" s="14">
        <f>O366-O367</f>
        <v>-20000</v>
      </c>
      <c r="Q368" s="11">
        <f>Q366-Q367</f>
        <v>-52760</v>
      </c>
      <c r="S368" s="16" t="s">
        <v>45</v>
      </c>
      <c r="T368" s="16" t="s">
        <v>82</v>
      </c>
      <c r="U368" s="16"/>
      <c r="V368" s="17">
        <v>0</v>
      </c>
      <c r="W368" s="16"/>
      <c r="X368" s="17">
        <v>0</v>
      </c>
      <c r="Y368" s="16"/>
      <c r="Z368" s="17">
        <v>0</v>
      </c>
    </row>
    <row r="369" spans="1:26" x14ac:dyDescent="0.3">
      <c r="A369" s="2">
        <v>5</v>
      </c>
      <c r="C369" t="s">
        <v>9</v>
      </c>
      <c r="D369" s="9">
        <v>0</v>
      </c>
      <c r="F369" s="9">
        <v>0</v>
      </c>
      <c r="H369" s="11">
        <f t="shared" si="20"/>
        <v>0</v>
      </c>
      <c r="J369" t="s">
        <v>27</v>
      </c>
      <c r="K369" t="s">
        <v>37</v>
      </c>
      <c r="M369" s="9">
        <v>1750000</v>
      </c>
      <c r="O369" s="14"/>
      <c r="Q369" s="11">
        <f>M369+O369</f>
        <v>1750000</v>
      </c>
      <c r="S369" t="s">
        <v>47</v>
      </c>
      <c r="T369" t="s">
        <v>66</v>
      </c>
      <c r="V369" s="9">
        <f>SUM(V365:V368)</f>
        <v>1152640</v>
      </c>
      <c r="X369" s="9">
        <f>SUM(X365:X368)</f>
        <v>-20000</v>
      </c>
      <c r="Z369" s="9">
        <f>SUM(Z365:Z368)</f>
        <v>1132640</v>
      </c>
    </row>
    <row r="370" spans="1:26" ht="15" thickBot="1" x14ac:dyDescent="0.35">
      <c r="A370" s="5">
        <v>6</v>
      </c>
      <c r="B370" s="1"/>
      <c r="C370" s="1" t="s">
        <v>10</v>
      </c>
      <c r="D370" s="8">
        <v>18220</v>
      </c>
      <c r="E370" s="1"/>
      <c r="F370" s="8">
        <v>0</v>
      </c>
      <c r="G370" s="1"/>
      <c r="H370" s="12">
        <f t="shared" si="20"/>
        <v>18220</v>
      </c>
      <c r="J370" t="s">
        <v>30</v>
      </c>
      <c r="K370" t="s">
        <v>38</v>
      </c>
      <c r="M370" s="9">
        <v>1000000</v>
      </c>
      <c r="O370" s="14"/>
      <c r="Q370" s="11">
        <f>M370+O370</f>
        <v>1000000</v>
      </c>
      <c r="S370" t="s">
        <v>50</v>
      </c>
      <c r="T370" t="s">
        <v>67</v>
      </c>
      <c r="V370" s="9">
        <v>0</v>
      </c>
      <c r="X370" s="9">
        <v>0</v>
      </c>
      <c r="Z370" s="9">
        <f>SUM(V370,X370)</f>
        <v>0</v>
      </c>
    </row>
    <row r="371" spans="1:26" x14ac:dyDescent="0.3">
      <c r="A371" s="2" t="s">
        <v>3</v>
      </c>
      <c r="C371" t="s">
        <v>11</v>
      </c>
      <c r="D371" s="9">
        <f>SUM(D368:D370)</f>
        <v>25900</v>
      </c>
      <c r="F371" s="9">
        <f>SUM(F368:F370)</f>
        <v>0</v>
      </c>
      <c r="H371" s="11">
        <f t="shared" si="20"/>
        <v>25900</v>
      </c>
      <c r="J371" t="s">
        <v>28</v>
      </c>
      <c r="K371" t="s">
        <v>39</v>
      </c>
      <c r="M371" s="9">
        <v>0</v>
      </c>
      <c r="O371" s="14">
        <v>0</v>
      </c>
      <c r="Q371" s="11">
        <f>M371+O371</f>
        <v>0</v>
      </c>
      <c r="S371" t="s">
        <v>48</v>
      </c>
      <c r="T371" t="s">
        <v>68</v>
      </c>
      <c r="V371" s="9">
        <v>1750000</v>
      </c>
      <c r="Z371" s="9">
        <f>SUM(V371,X371)</f>
        <v>1750000</v>
      </c>
    </row>
    <row r="372" spans="1:26" ht="15" thickBot="1" x14ac:dyDescent="0.35">
      <c r="A372" s="2" t="s">
        <v>4</v>
      </c>
      <c r="C372" t="s">
        <v>12</v>
      </c>
      <c r="D372" s="9">
        <f>D367-D371</f>
        <v>-25900</v>
      </c>
      <c r="F372" s="9">
        <f>F367-F371</f>
        <v>0</v>
      </c>
      <c r="H372" s="11">
        <f t="shared" si="20"/>
        <v>-25900</v>
      </c>
      <c r="J372" t="s">
        <v>29</v>
      </c>
      <c r="K372" t="s">
        <v>40</v>
      </c>
      <c r="M372" s="9">
        <v>1550000</v>
      </c>
      <c r="O372" s="14">
        <v>0</v>
      </c>
      <c r="Q372" s="11">
        <f>M372+O372</f>
        <v>1550000</v>
      </c>
      <c r="S372" s="16" t="s">
        <v>49</v>
      </c>
      <c r="T372" s="16" t="s">
        <v>69</v>
      </c>
      <c r="U372" s="16"/>
      <c r="V372" s="17">
        <v>7143</v>
      </c>
      <c r="W372" s="16"/>
      <c r="X372" s="17"/>
      <c r="Y372" s="16"/>
      <c r="Z372" s="17">
        <f>V372+X372</f>
        <v>7143</v>
      </c>
    </row>
    <row r="373" spans="1:26" x14ac:dyDescent="0.3">
      <c r="A373" s="2">
        <v>9</v>
      </c>
      <c r="C373" t="s">
        <v>13</v>
      </c>
      <c r="D373" s="9">
        <v>0</v>
      </c>
      <c r="F373" s="9">
        <v>0</v>
      </c>
      <c r="H373" s="11">
        <f t="shared" si="20"/>
        <v>0</v>
      </c>
      <c r="J373" t="s">
        <v>31</v>
      </c>
      <c r="K373" t="s">
        <v>41</v>
      </c>
      <c r="M373" s="9">
        <f>M365+M368-M369+M370-M371+M372</f>
        <v>767240</v>
      </c>
      <c r="O373" s="9">
        <f>O365+O368-O369+O370-O371+O372</f>
        <v>-20000</v>
      </c>
      <c r="Q373" s="11">
        <f>Q365+Q368-Q369+Q370-Q371+Q372</f>
        <v>747240</v>
      </c>
      <c r="S373" t="s">
        <v>51</v>
      </c>
      <c r="T373" t="s">
        <v>70</v>
      </c>
      <c r="V373" s="20">
        <f>V371-V372</f>
        <v>1742857</v>
      </c>
      <c r="X373" s="20">
        <f>X371-X372</f>
        <v>0</v>
      </c>
      <c r="Z373" s="20">
        <f>Z371-Z372</f>
        <v>1742857</v>
      </c>
    </row>
    <row r="374" spans="1:26" ht="15" thickBot="1" x14ac:dyDescent="0.35">
      <c r="A374" s="2">
        <v>10</v>
      </c>
      <c r="C374" t="s">
        <v>14</v>
      </c>
      <c r="D374" s="9">
        <v>0</v>
      </c>
      <c r="F374" s="9">
        <v>0</v>
      </c>
      <c r="H374" s="11">
        <f t="shared" si="20"/>
        <v>0</v>
      </c>
      <c r="S374" s="18" t="s">
        <v>52</v>
      </c>
      <c r="T374" s="18" t="s">
        <v>71</v>
      </c>
      <c r="U374" s="18"/>
      <c r="V374" s="19">
        <f>V369+V370+V373</f>
        <v>2895497</v>
      </c>
      <c r="W374" s="19"/>
      <c r="X374" s="19">
        <f>X369+X370+X373</f>
        <v>-20000</v>
      </c>
      <c r="Y374" s="18"/>
      <c r="Z374" s="19">
        <f>Z369+Z370+Z373</f>
        <v>2875497</v>
      </c>
    </row>
    <row r="375" spans="1:26" ht="15.6" thickTop="1" thickBot="1" x14ac:dyDescent="0.35">
      <c r="A375" s="6" t="s">
        <v>5</v>
      </c>
      <c r="B375" s="7"/>
      <c r="C375" s="7" t="s">
        <v>15</v>
      </c>
      <c r="D375" s="10">
        <f>D372+D373-D374</f>
        <v>-25900</v>
      </c>
      <c r="E375" s="7"/>
      <c r="F375" s="10">
        <f>F372+F373-F374</f>
        <v>0</v>
      </c>
      <c r="G375" s="7"/>
      <c r="H375" s="13">
        <f t="shared" si="20"/>
        <v>-25900</v>
      </c>
      <c r="S375" t="s">
        <v>53</v>
      </c>
      <c r="T375" t="s">
        <v>72</v>
      </c>
      <c r="V375" s="9">
        <v>361077</v>
      </c>
      <c r="X375" s="9">
        <v>-20000</v>
      </c>
      <c r="Z375" s="9">
        <f>SUM(V375,X375)</f>
        <v>341077</v>
      </c>
    </row>
    <row r="376" spans="1:26" ht="15" thickTop="1" x14ac:dyDescent="0.3">
      <c r="S376" t="s">
        <v>54</v>
      </c>
      <c r="T376" t="s">
        <v>73</v>
      </c>
      <c r="V376" s="9">
        <v>10320</v>
      </c>
      <c r="Z376" s="9">
        <f>SUM(V376,X376)</f>
        <v>10320</v>
      </c>
    </row>
    <row r="377" spans="1:26" x14ac:dyDescent="0.3">
      <c r="S377" t="s">
        <v>55</v>
      </c>
      <c r="T377" t="s">
        <v>74</v>
      </c>
      <c r="V377" s="9">
        <v>100000</v>
      </c>
      <c r="Z377" s="9">
        <f>SUM(V377,X377)</f>
        <v>100000</v>
      </c>
    </row>
    <row r="378" spans="1:26" ht="15" thickBot="1" x14ac:dyDescent="0.35">
      <c r="S378" s="16" t="s">
        <v>56</v>
      </c>
      <c r="T378" s="16" t="s">
        <v>75</v>
      </c>
      <c r="U378" s="16"/>
      <c r="V378" s="17">
        <v>0</v>
      </c>
      <c r="W378" s="16"/>
      <c r="X378" s="17">
        <v>0</v>
      </c>
      <c r="Y378" s="16"/>
      <c r="Z378" s="17">
        <f>SUM(V378,X378)</f>
        <v>0</v>
      </c>
    </row>
    <row r="379" spans="1:26" x14ac:dyDescent="0.3">
      <c r="S379" t="s">
        <v>57</v>
      </c>
      <c r="T379" t="s">
        <v>76</v>
      </c>
      <c r="V379" s="9">
        <f>SUM(V375:V378)</f>
        <v>471397</v>
      </c>
      <c r="X379" s="9">
        <f>SUM(X375:X378)</f>
        <v>-20000</v>
      </c>
      <c r="Z379" s="9">
        <f>SUM(Z375:Z378)</f>
        <v>451397</v>
      </c>
    </row>
    <row r="380" spans="1:26" x14ac:dyDescent="0.3">
      <c r="S380" t="s">
        <v>58</v>
      </c>
      <c r="T380" t="s">
        <v>77</v>
      </c>
      <c r="V380" s="9">
        <v>900000</v>
      </c>
      <c r="Z380" s="9">
        <f>SUM(V380,X380)</f>
        <v>900000</v>
      </c>
    </row>
    <row r="381" spans="1:26" x14ac:dyDescent="0.3">
      <c r="S381" t="s">
        <v>59</v>
      </c>
      <c r="T381" t="s">
        <v>78</v>
      </c>
      <c r="V381" s="9">
        <v>1550000</v>
      </c>
      <c r="X381" s="9">
        <v>0</v>
      </c>
      <c r="Z381" s="9">
        <f>SUM(V381,X381)</f>
        <v>1550000</v>
      </c>
    </row>
    <row r="382" spans="1:26" ht="15" thickBot="1" x14ac:dyDescent="0.35">
      <c r="S382" s="16" t="s">
        <v>60</v>
      </c>
      <c r="T382" s="16" t="s">
        <v>79</v>
      </c>
      <c r="U382" s="16"/>
      <c r="V382" s="17">
        <v>-25900</v>
      </c>
      <c r="W382" s="16"/>
      <c r="X382" s="17"/>
      <c r="Y382" s="16"/>
      <c r="Z382" s="17">
        <f>SUM(V382,X382)</f>
        <v>-25900</v>
      </c>
    </row>
    <row r="383" spans="1:26" x14ac:dyDescent="0.3">
      <c r="S383" t="s">
        <v>61</v>
      </c>
      <c r="T383" t="s">
        <v>80</v>
      </c>
      <c r="V383" s="9">
        <f>V381+V382</f>
        <v>1524100</v>
      </c>
      <c r="X383" s="21">
        <f>X381+X382</f>
        <v>0</v>
      </c>
      <c r="Z383" s="9">
        <f>SUM(V383,X383)</f>
        <v>1524100</v>
      </c>
    </row>
    <row r="384" spans="1:26" ht="15" thickBot="1" x14ac:dyDescent="0.35">
      <c r="S384" s="18" t="s">
        <v>62</v>
      </c>
      <c r="T384" s="18" t="s">
        <v>81</v>
      </c>
      <c r="U384" s="18"/>
      <c r="V384" s="19">
        <f>V379+V380+V383</f>
        <v>2895497</v>
      </c>
      <c r="W384" s="19"/>
      <c r="X384" s="19">
        <f>X379+X380+X383</f>
        <v>-20000</v>
      </c>
      <c r="Y384" s="18"/>
      <c r="Z384" s="19">
        <f>SUM(V384,X384)</f>
        <v>2875497</v>
      </c>
    </row>
    <row r="385" spans="1:26" ht="15" thickTop="1" x14ac:dyDescent="0.3"/>
    <row r="388" spans="1:26" x14ac:dyDescent="0.3">
      <c r="A388" s="27" t="s">
        <v>97</v>
      </c>
      <c r="B388" s="27"/>
      <c r="C388" s="27"/>
    </row>
    <row r="390" spans="1:26" ht="25.8" x14ac:dyDescent="0.3">
      <c r="A390" s="26" t="s">
        <v>21</v>
      </c>
      <c r="B390" s="26"/>
      <c r="C390" s="26"/>
      <c r="D390" s="15"/>
      <c r="E390" s="15"/>
      <c r="F390"/>
      <c r="J390" s="26" t="s">
        <v>22</v>
      </c>
      <c r="K390" s="26"/>
      <c r="L390" s="15"/>
      <c r="M390" s="15"/>
      <c r="N390" s="15"/>
      <c r="S390" s="26" t="s">
        <v>0</v>
      </c>
      <c r="T390" s="26"/>
      <c r="U390" s="26"/>
      <c r="V390" s="26"/>
      <c r="W390" s="26"/>
    </row>
    <row r="391" spans="1:26" ht="12.6" customHeight="1" x14ac:dyDescent="0.3">
      <c r="A391" s="15"/>
      <c r="B391" s="15"/>
      <c r="C391" s="15"/>
      <c r="D391" s="15"/>
      <c r="E391" s="15"/>
      <c r="F391"/>
      <c r="J391" s="15"/>
      <c r="K391" s="15"/>
      <c r="L391" s="15"/>
      <c r="M391" s="15"/>
      <c r="N391" s="15"/>
      <c r="S391" s="26"/>
      <c r="T391" s="26"/>
      <c r="U391" s="26"/>
      <c r="V391" s="26"/>
      <c r="W391" s="26"/>
    </row>
    <row r="392" spans="1:26" ht="15" thickBot="1" x14ac:dyDescent="0.35">
      <c r="A392" s="1" t="s">
        <v>1</v>
      </c>
      <c r="B392" s="1"/>
      <c r="C392" s="1"/>
      <c r="D392" s="8" t="s">
        <v>16</v>
      </c>
      <c r="E392" s="3" t="s">
        <v>17</v>
      </c>
      <c r="F392" s="8" t="s">
        <v>18</v>
      </c>
      <c r="G392" s="4" t="s">
        <v>19</v>
      </c>
      <c r="H392" s="1" t="s">
        <v>20</v>
      </c>
      <c r="J392" s="1" t="s">
        <v>1</v>
      </c>
      <c r="K392" s="1"/>
      <c r="L392" s="1"/>
      <c r="M392" s="8" t="s">
        <v>16</v>
      </c>
      <c r="N392" s="3" t="s">
        <v>17</v>
      </c>
      <c r="O392" s="8" t="s">
        <v>18</v>
      </c>
      <c r="P392" s="4" t="s">
        <v>19</v>
      </c>
      <c r="Q392" s="1" t="s">
        <v>20</v>
      </c>
      <c r="S392" s="1" t="s">
        <v>1</v>
      </c>
      <c r="T392" s="1"/>
      <c r="U392" s="1"/>
      <c r="V392" s="8" t="s">
        <v>16</v>
      </c>
      <c r="W392" s="3" t="s">
        <v>17</v>
      </c>
      <c r="X392" s="8" t="s">
        <v>18</v>
      </c>
      <c r="Y392" s="4" t="s">
        <v>19</v>
      </c>
      <c r="Z392" s="8" t="s">
        <v>20</v>
      </c>
    </row>
    <row r="393" spans="1:26" x14ac:dyDescent="0.3">
      <c r="A393" s="2">
        <v>1</v>
      </c>
      <c r="C393" t="s">
        <v>6</v>
      </c>
      <c r="D393" s="9">
        <v>0</v>
      </c>
      <c r="F393" s="9">
        <v>0</v>
      </c>
      <c r="H393" s="11">
        <f>D393+F393</f>
        <v>0</v>
      </c>
      <c r="J393" t="s">
        <v>23</v>
      </c>
      <c r="K393" t="s">
        <v>32</v>
      </c>
      <c r="M393" s="9">
        <v>0</v>
      </c>
      <c r="Q393" s="11">
        <v>0</v>
      </c>
      <c r="S393" t="s">
        <v>43</v>
      </c>
      <c r="T393" t="s">
        <v>63</v>
      </c>
      <c r="V393" s="9">
        <v>747240</v>
      </c>
      <c r="Z393" s="9">
        <f>V393+X393</f>
        <v>747240</v>
      </c>
    </row>
    <row r="394" spans="1:26" ht="15" thickBot="1" x14ac:dyDescent="0.35">
      <c r="A394" s="5">
        <v>2</v>
      </c>
      <c r="B394" s="1"/>
      <c r="C394" s="1" t="s">
        <v>33</v>
      </c>
      <c r="D394" s="8">
        <v>0</v>
      </c>
      <c r="E394" s="1"/>
      <c r="F394" s="8">
        <v>0</v>
      </c>
      <c r="G394" s="1"/>
      <c r="H394" s="12">
        <f t="shared" ref="H394:H403" si="21">D394+F394</f>
        <v>0</v>
      </c>
      <c r="J394" t="s">
        <v>24</v>
      </c>
      <c r="K394" t="s">
        <v>34</v>
      </c>
      <c r="M394" s="9">
        <v>0</v>
      </c>
      <c r="Q394" s="11">
        <f>M394+O394</f>
        <v>0</v>
      </c>
      <c r="S394" t="s">
        <v>46</v>
      </c>
      <c r="T394" t="s">
        <v>64</v>
      </c>
      <c r="V394" s="9">
        <v>0</v>
      </c>
      <c r="X394" s="9">
        <v>0</v>
      </c>
      <c r="Z394" s="9">
        <v>0</v>
      </c>
    </row>
    <row r="395" spans="1:26" ht="15" thickBot="1" x14ac:dyDescent="0.35">
      <c r="A395" s="2" t="s">
        <v>2</v>
      </c>
      <c r="C395" t="s">
        <v>7</v>
      </c>
      <c r="D395" s="9">
        <v>0</v>
      </c>
      <c r="F395" s="9">
        <v>0</v>
      </c>
      <c r="H395" s="11">
        <f t="shared" si="21"/>
        <v>0</v>
      </c>
      <c r="J395" s="1" t="s">
        <v>25</v>
      </c>
      <c r="K395" s="1" t="s">
        <v>35</v>
      </c>
      <c r="L395" s="1"/>
      <c r="M395" s="8">
        <v>52760</v>
      </c>
      <c r="N395" s="1"/>
      <c r="O395" s="8"/>
      <c r="P395" s="1"/>
      <c r="Q395" s="22">
        <f>M395+O395</f>
        <v>52760</v>
      </c>
      <c r="S395" t="s">
        <v>44</v>
      </c>
      <c r="T395" t="s">
        <v>65</v>
      </c>
      <c r="V395" s="9">
        <v>385400</v>
      </c>
      <c r="Z395" s="9">
        <f>SUM(V395,X395)</f>
        <v>385400</v>
      </c>
    </row>
    <row r="396" spans="1:26" ht="15" thickBot="1" x14ac:dyDescent="0.35">
      <c r="A396" s="2">
        <v>4</v>
      </c>
      <c r="C396" t="s">
        <v>8</v>
      </c>
      <c r="D396" s="9">
        <v>7680</v>
      </c>
      <c r="H396" s="11">
        <f t="shared" si="21"/>
        <v>7680</v>
      </c>
      <c r="J396" t="s">
        <v>26</v>
      </c>
      <c r="K396" t="s">
        <v>36</v>
      </c>
      <c r="M396" s="9">
        <f>M394-M395</f>
        <v>-52760</v>
      </c>
      <c r="O396" s="14">
        <f>O394-O395</f>
        <v>0</v>
      </c>
      <c r="Q396" s="11">
        <f>Q394-Q395</f>
        <v>-52760</v>
      </c>
      <c r="S396" s="16" t="s">
        <v>45</v>
      </c>
      <c r="T396" s="16" t="s">
        <v>82</v>
      </c>
      <c r="U396" s="16"/>
      <c r="V396" s="17">
        <v>0</v>
      </c>
      <c r="W396" s="16"/>
      <c r="X396" s="17">
        <v>0</v>
      </c>
      <c r="Y396" s="16"/>
      <c r="Z396" s="17">
        <v>0</v>
      </c>
    </row>
    <row r="397" spans="1:26" x14ac:dyDescent="0.3">
      <c r="A397" s="2">
        <v>5</v>
      </c>
      <c r="C397" t="s">
        <v>9</v>
      </c>
      <c r="D397" s="9">
        <v>0</v>
      </c>
      <c r="F397" s="9">
        <v>0</v>
      </c>
      <c r="H397" s="11">
        <f t="shared" si="21"/>
        <v>0</v>
      </c>
      <c r="J397" t="s">
        <v>27</v>
      </c>
      <c r="K397" t="s">
        <v>37</v>
      </c>
      <c r="M397" s="9">
        <v>1750000</v>
      </c>
      <c r="O397" s="14"/>
      <c r="Q397" s="11">
        <f>M397+O397</f>
        <v>1750000</v>
      </c>
      <c r="S397" t="s">
        <v>47</v>
      </c>
      <c r="T397" t="s">
        <v>66</v>
      </c>
      <c r="V397" s="9">
        <f>SUM(V393:V396)</f>
        <v>1132640</v>
      </c>
      <c r="X397" s="9">
        <f>SUM(X393:X396)</f>
        <v>0</v>
      </c>
      <c r="Z397" s="9">
        <f>SUM(Z393:Z396)</f>
        <v>1132640</v>
      </c>
    </row>
    <row r="398" spans="1:26" ht="15" thickBot="1" x14ac:dyDescent="0.35">
      <c r="A398" s="5">
        <v>6</v>
      </c>
      <c r="B398" s="1"/>
      <c r="C398" s="1" t="s">
        <v>10</v>
      </c>
      <c r="D398" s="8">
        <v>18220</v>
      </c>
      <c r="E398" s="1"/>
      <c r="F398" s="8">
        <v>0</v>
      </c>
      <c r="G398" s="1"/>
      <c r="H398" s="12">
        <f t="shared" si="21"/>
        <v>18220</v>
      </c>
      <c r="J398" t="s">
        <v>30</v>
      </c>
      <c r="K398" t="s">
        <v>38</v>
      </c>
      <c r="M398" s="9">
        <v>1000000</v>
      </c>
      <c r="O398" s="14"/>
      <c r="Q398" s="11">
        <f>M398+O398</f>
        <v>1000000</v>
      </c>
      <c r="S398" t="s">
        <v>50</v>
      </c>
      <c r="T398" t="s">
        <v>67</v>
      </c>
      <c r="V398" s="9">
        <v>0</v>
      </c>
      <c r="X398" s="9">
        <v>0</v>
      </c>
      <c r="Z398" s="9">
        <f>SUM(V398,X398)</f>
        <v>0</v>
      </c>
    </row>
    <row r="399" spans="1:26" x14ac:dyDescent="0.3">
      <c r="A399" s="2" t="s">
        <v>3</v>
      </c>
      <c r="C399" t="s">
        <v>11</v>
      </c>
      <c r="D399" s="9">
        <f>SUM(D396:D398)</f>
        <v>25900</v>
      </c>
      <c r="F399" s="9">
        <f>SUM(F396:F398)</f>
        <v>0</v>
      </c>
      <c r="H399" s="11">
        <f t="shared" si="21"/>
        <v>25900</v>
      </c>
      <c r="J399" t="s">
        <v>28</v>
      </c>
      <c r="K399" t="s">
        <v>39</v>
      </c>
      <c r="M399" s="9">
        <v>0</v>
      </c>
      <c r="O399" s="14">
        <v>0</v>
      </c>
      <c r="Q399" s="11">
        <f>M399+O399</f>
        <v>0</v>
      </c>
      <c r="S399" t="s">
        <v>48</v>
      </c>
      <c r="T399" t="s">
        <v>68</v>
      </c>
      <c r="V399" s="9">
        <v>1750000</v>
      </c>
      <c r="Z399" s="9">
        <f>SUM(V399,X399)</f>
        <v>1750000</v>
      </c>
    </row>
    <row r="400" spans="1:26" ht="15" thickBot="1" x14ac:dyDescent="0.35">
      <c r="A400" s="2" t="s">
        <v>4</v>
      </c>
      <c r="C400" t="s">
        <v>12</v>
      </c>
      <c r="D400" s="9">
        <f>D395-D399</f>
        <v>-25900</v>
      </c>
      <c r="F400" s="9">
        <f>F395-F399</f>
        <v>0</v>
      </c>
      <c r="H400" s="11">
        <f t="shared" si="21"/>
        <v>-25900</v>
      </c>
      <c r="J400" t="s">
        <v>29</v>
      </c>
      <c r="K400" t="s">
        <v>40</v>
      </c>
      <c r="M400" s="9">
        <v>1550000</v>
      </c>
      <c r="O400" s="14">
        <v>0</v>
      </c>
      <c r="Q400" s="11">
        <f>M400+O400</f>
        <v>1550000</v>
      </c>
      <c r="S400" s="16" t="s">
        <v>49</v>
      </c>
      <c r="T400" s="16" t="s">
        <v>69</v>
      </c>
      <c r="U400" s="16"/>
      <c r="V400" s="17">
        <v>7143</v>
      </c>
      <c r="W400" s="16"/>
      <c r="X400" s="17"/>
      <c r="Y400" s="16"/>
      <c r="Z400" s="17">
        <f>V400+X400</f>
        <v>7143</v>
      </c>
    </row>
    <row r="401" spans="1:26" x14ac:dyDescent="0.3">
      <c r="A401" s="2">
        <v>9</v>
      </c>
      <c r="C401" t="s">
        <v>13</v>
      </c>
      <c r="D401" s="9">
        <v>0</v>
      </c>
      <c r="F401" s="9">
        <v>0</v>
      </c>
      <c r="H401" s="11">
        <f t="shared" si="21"/>
        <v>0</v>
      </c>
      <c r="J401" t="s">
        <v>31</v>
      </c>
      <c r="K401" t="s">
        <v>41</v>
      </c>
      <c r="M401" s="9">
        <f>M393+M396-M397+M398-M399+M400</f>
        <v>747240</v>
      </c>
      <c r="O401" s="9">
        <f>O393+O396-O397+O398-O399+O400</f>
        <v>0</v>
      </c>
      <c r="Q401" s="11">
        <f>Q393+Q396-Q397+Q398-Q399+Q400</f>
        <v>747240</v>
      </c>
      <c r="S401" t="s">
        <v>51</v>
      </c>
      <c r="T401" t="s">
        <v>70</v>
      </c>
      <c r="V401" s="20">
        <f>V399-V400</f>
        <v>1742857</v>
      </c>
      <c r="X401" s="20">
        <f>X399-X400</f>
        <v>0</v>
      </c>
      <c r="Z401" s="20">
        <f>Z399-Z400</f>
        <v>1742857</v>
      </c>
    </row>
    <row r="402" spans="1:26" ht="15" thickBot="1" x14ac:dyDescent="0.35">
      <c r="A402" s="2">
        <v>10</v>
      </c>
      <c r="C402" t="s">
        <v>14</v>
      </c>
      <c r="D402" s="9">
        <v>0</v>
      </c>
      <c r="F402" s="9">
        <v>0</v>
      </c>
      <c r="H402" s="11">
        <f t="shared" si="21"/>
        <v>0</v>
      </c>
      <c r="S402" s="18" t="s">
        <v>52</v>
      </c>
      <c r="T402" s="18" t="s">
        <v>71</v>
      </c>
      <c r="U402" s="18"/>
      <c r="V402" s="19">
        <f>V397+V398+V401</f>
        <v>2875497</v>
      </c>
      <c r="W402" s="19"/>
      <c r="X402" s="19">
        <f>X397+X398+X401</f>
        <v>0</v>
      </c>
      <c r="Y402" s="18"/>
      <c r="Z402" s="19">
        <f>Z397+Z398+Z401</f>
        <v>2875497</v>
      </c>
    </row>
    <row r="403" spans="1:26" ht="15.6" thickTop="1" thickBot="1" x14ac:dyDescent="0.35">
      <c r="A403" s="6" t="s">
        <v>5</v>
      </c>
      <c r="B403" s="7"/>
      <c r="C403" s="7" t="s">
        <v>15</v>
      </c>
      <c r="D403" s="10">
        <f>D400+D401-D402</f>
        <v>-25900</v>
      </c>
      <c r="E403" s="7"/>
      <c r="F403" s="10">
        <f>F400+F401-F402</f>
        <v>0</v>
      </c>
      <c r="G403" s="7"/>
      <c r="H403" s="13">
        <f t="shared" si="21"/>
        <v>-25900</v>
      </c>
      <c r="S403" t="s">
        <v>53</v>
      </c>
      <c r="T403" t="s">
        <v>72</v>
      </c>
      <c r="V403" s="9">
        <v>341077</v>
      </c>
      <c r="Z403" s="9">
        <f>SUM(V403,X403)</f>
        <v>341077</v>
      </c>
    </row>
    <row r="404" spans="1:26" ht="15" thickTop="1" x14ac:dyDescent="0.3">
      <c r="S404" t="s">
        <v>54</v>
      </c>
      <c r="T404" t="s">
        <v>73</v>
      </c>
      <c r="V404" s="9">
        <v>10320</v>
      </c>
      <c r="Z404" s="9">
        <f>SUM(V404,X404)</f>
        <v>10320</v>
      </c>
    </row>
    <row r="405" spans="1:26" x14ac:dyDescent="0.3">
      <c r="S405" t="s">
        <v>55</v>
      </c>
      <c r="T405" t="s">
        <v>74</v>
      </c>
      <c r="V405" s="9">
        <v>100000</v>
      </c>
      <c r="Z405" s="9">
        <f>SUM(V405,X405)</f>
        <v>100000</v>
      </c>
    </row>
    <row r="406" spans="1:26" ht="15" thickBot="1" x14ac:dyDescent="0.35">
      <c r="S406" s="16" t="s">
        <v>56</v>
      </c>
      <c r="T406" s="16" t="s">
        <v>75</v>
      </c>
      <c r="U406" s="16"/>
      <c r="V406" s="17">
        <v>0</v>
      </c>
      <c r="W406" s="16"/>
      <c r="X406" s="17">
        <v>0</v>
      </c>
      <c r="Y406" s="16"/>
      <c r="Z406" s="17">
        <f>SUM(V406,X406)</f>
        <v>0</v>
      </c>
    </row>
    <row r="407" spans="1:26" x14ac:dyDescent="0.3">
      <c r="S407" t="s">
        <v>57</v>
      </c>
      <c r="T407" t="s">
        <v>76</v>
      </c>
      <c r="V407" s="9">
        <f>SUM(V403:V406)</f>
        <v>451397</v>
      </c>
      <c r="X407" s="9">
        <f>SUM(X403:X406)</f>
        <v>0</v>
      </c>
      <c r="Z407" s="9">
        <f>SUM(Z403:Z406)</f>
        <v>451397</v>
      </c>
    </row>
    <row r="408" spans="1:26" x14ac:dyDescent="0.3">
      <c r="S408" t="s">
        <v>58</v>
      </c>
      <c r="T408" t="s">
        <v>77</v>
      </c>
      <c r="V408" s="9">
        <v>900000</v>
      </c>
      <c r="Z408" s="9">
        <f>SUM(V408,X408)</f>
        <v>900000</v>
      </c>
    </row>
    <row r="409" spans="1:26" x14ac:dyDescent="0.3">
      <c r="S409" t="s">
        <v>59</v>
      </c>
      <c r="T409" t="s">
        <v>78</v>
      </c>
      <c r="V409" s="9">
        <v>1550000</v>
      </c>
      <c r="X409" s="9">
        <v>0</v>
      </c>
      <c r="Z409" s="9">
        <f>SUM(V409,X409)</f>
        <v>1550000</v>
      </c>
    </row>
    <row r="410" spans="1:26" ht="15" thickBot="1" x14ac:dyDescent="0.35">
      <c r="S410" s="16" t="s">
        <v>60</v>
      </c>
      <c r="T410" s="16" t="s">
        <v>79</v>
      </c>
      <c r="U410" s="16"/>
      <c r="V410" s="17">
        <v>-25900</v>
      </c>
      <c r="W410" s="16"/>
      <c r="X410" s="17"/>
      <c r="Y410" s="16"/>
      <c r="Z410" s="17">
        <f>SUM(V410,X410)</f>
        <v>-25900</v>
      </c>
    </row>
    <row r="411" spans="1:26" x14ac:dyDescent="0.3">
      <c r="S411" t="s">
        <v>61</v>
      </c>
      <c r="T411" t="s">
        <v>80</v>
      </c>
      <c r="V411" s="9">
        <f>V409+V410</f>
        <v>1524100</v>
      </c>
      <c r="X411" s="21">
        <f>X409+X410</f>
        <v>0</v>
      </c>
      <c r="Z411" s="9">
        <f>SUM(V411,X411)</f>
        <v>1524100</v>
      </c>
    </row>
    <row r="412" spans="1:26" ht="15" thickBot="1" x14ac:dyDescent="0.35">
      <c r="S412" s="18" t="s">
        <v>62</v>
      </c>
      <c r="T412" s="18" t="s">
        <v>81</v>
      </c>
      <c r="U412" s="18"/>
      <c r="V412" s="19">
        <f>V407+V408+V411</f>
        <v>2875497</v>
      </c>
      <c r="W412" s="19"/>
      <c r="X412" s="19">
        <f>X407+X408+X411</f>
        <v>0</v>
      </c>
      <c r="Y412" s="18"/>
      <c r="Z412" s="19">
        <f>SUM(V412,X412)</f>
        <v>2875497</v>
      </c>
    </row>
    <row r="413" spans="1:26" ht="15" thickTop="1" x14ac:dyDescent="0.3"/>
  </sheetData>
  <mergeCells count="56">
    <mergeCell ref="A390:C390"/>
    <mergeCell ref="J390:K390"/>
    <mergeCell ref="S390:W391"/>
    <mergeCell ref="A360:C360"/>
    <mergeCell ref="A362:C362"/>
    <mergeCell ref="J362:K362"/>
    <mergeCell ref="S362:W363"/>
    <mergeCell ref="A388:C388"/>
    <mergeCell ref="S101:W102"/>
    <mergeCell ref="S127:W128"/>
    <mergeCell ref="A77:E78"/>
    <mergeCell ref="J77:N78"/>
    <mergeCell ref="S77:W78"/>
    <mergeCell ref="A50:E51"/>
    <mergeCell ref="J50:N51"/>
    <mergeCell ref="S52:W53"/>
    <mergeCell ref="A49:I49"/>
    <mergeCell ref="A75:E75"/>
    <mergeCell ref="A1:E2"/>
    <mergeCell ref="J1:N2"/>
    <mergeCell ref="S1:W2"/>
    <mergeCell ref="A25:F25"/>
    <mergeCell ref="A27:E28"/>
    <mergeCell ref="J27:N28"/>
    <mergeCell ref="S27:W28"/>
    <mergeCell ref="J180:K180"/>
    <mergeCell ref="S180:W181"/>
    <mergeCell ref="A205:E205"/>
    <mergeCell ref="A180:C180"/>
    <mergeCell ref="A150:D150"/>
    <mergeCell ref="S153:W154"/>
    <mergeCell ref="A174:E174"/>
    <mergeCell ref="J153:K153"/>
    <mergeCell ref="A259:D259"/>
    <mergeCell ref="A260:C260"/>
    <mergeCell ref="J259:K259"/>
    <mergeCell ref="S259:W260"/>
    <mergeCell ref="A207:C207"/>
    <mergeCell ref="J207:K207"/>
    <mergeCell ref="S207:W208"/>
    <mergeCell ref="A232:E232"/>
    <mergeCell ref="A234:C234"/>
    <mergeCell ref="J234:K234"/>
    <mergeCell ref="S234:W235"/>
    <mergeCell ref="A285:C285"/>
    <mergeCell ref="J285:K285"/>
    <mergeCell ref="S285:W286"/>
    <mergeCell ref="A284:D284"/>
    <mergeCell ref="A310:C310"/>
    <mergeCell ref="A311:C311"/>
    <mergeCell ref="J311:K311"/>
    <mergeCell ref="S311:W312"/>
    <mergeCell ref="A335:E335"/>
    <mergeCell ref="A337:C337"/>
    <mergeCell ref="J337:K337"/>
    <mergeCell ref="S337:W3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Adeniyi aderonmu</dc:creator>
  <cp:lastModifiedBy>Adeniyi aderonmu</cp:lastModifiedBy>
  <dcterms:created xsi:type="dcterms:W3CDTF">2025-12-07T13:11:00Z</dcterms:created>
  <dcterms:modified xsi:type="dcterms:W3CDTF">2026-01-02T13:36:08Z</dcterms:modified>
</cp:coreProperties>
</file>